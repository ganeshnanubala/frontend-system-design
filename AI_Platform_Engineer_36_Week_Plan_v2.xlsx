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Weekly Plan" sheetId="2" state="visible" r:id="rId4"/>
    <sheet name="Production Bar" sheetId="3" state="visible" r:id="rId5"/>
    <sheet name="Tools Map" sheetId="4" state="visible" r:id="rId6"/>
    <sheet name="Build in Public" sheetId="5" state="visible" r:id="rId7"/>
  </sheets>
  <definedNames>
    <definedName function="false" hidden="true" localSheetId="3" name="_xlnm._FilterDatabase" vbProcedure="false">'Tools Map'!$A$1:$E$37</definedName>
    <definedName function="false" hidden="true" localSheetId="1" name="_xlnm._FilterDatabase" vbProcedure="false">'Weekly Plan'!$A$1:$L$37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<sst xmlns="http://schemas.openxmlformats.org/spreadsheetml/2006/main" count="583" uniqueCount="421">
  <si>
    <t xml:space="preserve">AI Platform Engineer: 36-Week Plan</t>
  </si>
  <si>
    <t xml:space="preserve">Plan start date (Monday)</t>
  </si>
  <si>
    <t xml:space="preserve">Edit this cell: all dates update</t>
  </si>
  <si>
    <t xml:space="preserve">Target hours per week</t>
  </si>
  <si>
    <t xml:space="preserve">Assumption: 10-12 hrs/week alongside a full-time job</t>
  </si>
  <si>
    <t xml:space="preserve">Planned end date</t>
  </si>
  <si>
    <t xml:space="preserve">Weeks completed</t>
  </si>
  <si>
    <t xml:space="preserve">Progress</t>
  </si>
  <si>
    <t xml:space="preserve">Current week (by date)</t>
  </si>
  <si>
    <t xml:space="preserve">Based on today's date</t>
  </si>
  <si>
    <t xml:space="preserve">Total planned hours</t>
  </si>
  <si>
    <t xml:space="preserve">How to use</t>
  </si>
  <si>
    <t xml:space="preserve">• Yellow cells are inputs. Everything else is calculated.</t>
  </si>
  <si>
    <t xml:space="preserve">• Each week ends with a deliverable; mark the week Done only when it is shipped (code merged, CI green, README updated).</t>
  </si>
  <si>
    <t xml:space="preserve">• If a week slips, cut scope instead of adding time. Keep the weekly ship.</t>
  </si>
  <si>
    <t xml:space="preserve">• Book the CKA exam around Week 15-17. Start applying from Week 28, not Week 36; interviews show remaining gaps.</t>
  </si>
  <si>
    <t xml:space="preserve">• GPU cost: rent by the hour and shut down after each session. Set billing alerts before Week 16.</t>
  </si>
  <si>
    <t xml:space="preserve">• Pay and demand differ by company and city: check current data for your target titles before applying.</t>
  </si>
  <si>
    <t xml:space="preserve">• v2 changes: Phase 3 grows to 10 weeks (adds LLM/GPU basics and multi-GPU inference); Docker and Compose merged; Backstage is now an optional stretch.</t>
  </si>
  <si>
    <t xml:space="preserve">Phases</t>
  </si>
  <si>
    <t xml:space="preserve">1. Backend &amp; Linux</t>
  </si>
  <si>
    <t xml:space="preserve">Weeks 1-8</t>
  </si>
  <si>
    <t xml:space="preserve">2. Containers &amp; Kubernetes</t>
  </si>
  <si>
    <t xml:space="preserve">Weeks 9-15</t>
  </si>
  <si>
    <t xml:space="preserve">3. Model Serving &amp; GPUs</t>
  </si>
  <si>
    <t xml:space="preserve">Weeks 16-25</t>
  </si>
  <si>
    <t xml:space="preserve">4. Reliability &amp; Observability</t>
  </si>
  <si>
    <t xml:space="preserve">Weeks 26-33</t>
  </si>
  <si>
    <t xml:space="preserve">5. Portfolio &amp; Job Hunt</t>
  </si>
  <si>
    <t xml:space="preserve">Weeks 34-36</t>
  </si>
  <si>
    <t xml:space="preserve">Week</t>
  </si>
  <si>
    <t xml:space="preserve">Phase</t>
  </si>
  <si>
    <t xml:space="preserve">Start</t>
  </si>
  <si>
    <t xml:space="preserve">End</t>
  </si>
  <si>
    <t xml:space="preserve">Focus</t>
  </si>
  <si>
    <t xml:space="preserve">Tasks</t>
  </si>
  <si>
    <t xml:space="preserve">Resources</t>
  </si>
  <si>
    <t xml:space="preserve">Production-grade deliverable</t>
  </si>
  <si>
    <t xml:space="preserve">Build in public (LinkedIn / GitHub)</t>
  </si>
  <si>
    <t xml:space="preserve">Hrs</t>
  </si>
  <si>
    <t xml:space="preserve">Status</t>
  </si>
  <si>
    <t xml:space="preserve">Notes</t>
  </si>
  <si>
    <t xml:space="preserve">Python for services</t>
  </si>
  <si>
    <t xml:space="preserve">• Async/await, type hints, pytest, uv/venv
• Set up ruff, mypy, pre-commit
• Create repo `llm-platform` with CI skeleton</t>
  </si>
  <si>
    <t xml:space="preserve">• Python docs: asyncio
• Fluent Python (Ramalho), concurrency chapters
• pytest docs
• ruff + mypy docs</t>
  </si>
  <si>
    <t xml:space="preserve">Repo template with lint, type-check, tests; GitHub Actions CI green on every push</t>
  </si>
  <si>
    <t xml:space="preserve">GitHub: create public repo `llm-platform` with README roadmap and a PROGRESS.md log
LinkedIn: 'Starting a 36-week journey into AI platform engineering' post with the plan and a promise of weekly updates</t>
  </si>
  <si>
    <t xml:space="preserve">Not started</t>
  </si>
  <si>
    <t xml:space="preserve">FastAPI core</t>
  </si>
  <si>
    <t xml:space="preserve">• Routes, Pydantic v2 models, dependency injection
• Structured error responses, OpenAPI docs
• Write unit + API tests with httpx</t>
  </si>
  <si>
    <t xml:space="preserve">• FastAPI official tutorial
• Pydantic v2 docs
• httpx + pytest-asyncio docs</t>
  </si>
  <si>
    <t xml:space="preserve">/health and /v1/chat (stub) with typed schemas, JSON error format, 80%+ coverage</t>
  </si>
  <si>
    <t xml:space="preserve">GitHub: commit schemas + tests with clear messages
LinkedIn: short post, 3 things Pydantic v2 taught you about typing LLM APIs</t>
  </si>
  <si>
    <t xml:space="preserve">Streaming LLM gateway</t>
  </si>
  <si>
    <t xml:space="preserve">• SSE via StreamingResponse; proxy a hosted LLM API
• Handle client disconnect, upstream cancel, timeouts
• Connect your Next.js chat UI to it</t>
  </si>
  <si>
    <t xml:space="preserve">• FastAPI StreamingResponse docs
• MDN: Server-sent events
• Anthropic / OpenAI streaming API docs</t>
  </si>
  <si>
    <t xml:space="preserve">/v1/chat/stream that cancels upstream on disconnect; tested end to end with your UI</t>
  </si>
  <si>
    <t xml:space="preserve">LinkedIn: 30-second screen recording of your UI streaming through your own gateway
GitHub: tag v0.1.0</t>
  </si>
  <si>
    <t xml:space="preserve">Auth &amp; multi-tenancy</t>
  </si>
  <si>
    <t xml:space="preserve">• Hashed API keys, JWT, per-key usage metering
• Threat-check against OWASP API Top 10
• Tests for every auth failure path</t>
  </si>
  <si>
    <t xml:space="preserve">• OWASP API Security Top 10
• FastAPI security docs
• Passlib/argon2 docs</t>
  </si>
  <si>
    <t xml:space="preserve">Keys stored hashed only; usage recorded per key; auth failure tests in CI</t>
  </si>
  <si>
    <t xml:space="preserve">LinkedIn: 'API key design mistakes I avoided' (OWASP lessons, no secrets shown)
GitHub: add SECURITY.md</t>
  </si>
  <si>
    <t xml:space="preserve">Postgres in production style</t>
  </si>
  <si>
    <t xml:space="preserve">• Schema design, SQLAlchemy 2.0 async, Alembic migrations
• Indexes and EXPLAIN ANALYZE
• Run Postgres as CI service container</t>
  </si>
  <si>
    <t xml:space="preserve">• PostgreSQL docs (indexes, EXPLAIN)
• SQLAlchemy 2.0 tutorial
• Alembic docs</t>
  </si>
  <si>
    <t xml:space="preserve">requests/usage tables with versioned migrations; integration tests pass in CI</t>
  </si>
  <si>
    <t xml:space="preserve">LinkedIn: one image, a slow query before/after EXPLAIN ANALYZE and the index that fixed it</t>
  </si>
  <si>
    <t xml:space="preserve">Redis: rate limit &amp; cache</t>
  </si>
  <si>
    <t xml:space="preserve">• Token-bucket rate limiter (atomic via Lua)
• Response caching, idempotency keys
• Return 429 with Retry-After</t>
  </si>
  <si>
    <t xml:space="preserve">• Redis docs: rate limiter patterns, Lua scripting
• redis-py docs</t>
  </si>
  <si>
    <t xml:space="preserve">Per-key rate limits that hold under concurrent load; tests prove no races</t>
  </si>
  <si>
    <t xml:space="preserve">LinkedIn: how you built a token-bucket limiter and the race condition you caught
GitHub: link the test that proves it</t>
  </si>
  <si>
    <t xml:space="preserve">Linux, networking &amp; Ansible</t>
  </si>
  <si>
    <t xml:space="preserve">• systemd, processes, ss/curl/dig/tcpdump, TLS, DNS, strace basics
• Automate the VM setup with an Ansible playbook (nginx, TLS, systemd unit)
• Deploy gateway behind nginx + Let's Encrypt</t>
  </si>
  <si>
    <t xml:space="preserve">• The Linux Command Line (Shotts)
• Julia Evans' zines
• Brendan Gregg: Linux performance page
• Ansible docs: getting started; Jeff Geerling: Ansible for DevOps</t>
  </si>
  <si>
    <t xml:space="preserve">Gateway live on a VM over HTTPS, built by an idempotent Ansible playbook; RUNBOOK.md</t>
  </si>
  <si>
    <t xml:space="preserve">LinkedIn: a Linux debugging story (what curl/tcpdump revealed)
GitHub: publish RUNBOOK.md and the Ansible playbook</t>
  </si>
  <si>
    <t xml:space="preserve">Harden &amp; ship v1</t>
  </si>
  <si>
    <t xml:space="preserve">• Structured logging (structlog), 12-factor config
• Graceful shutdown, pagination, request IDs
• Write README + architecture diagram</t>
  </si>
  <si>
    <t xml:space="preserve">• 12factor.net
• Release It! (Nygard), stability patterns
• Python `structlog` docs</t>
  </si>
  <si>
    <t xml:space="preserve">PROJECT 1: Gateway v1.0 tagged release; CI gates lint, types, tests, coverage</t>
  </si>
  <si>
    <t xml:space="preserve">LinkedIn: article 'Phase 1: building a streaming LLM gateway' with architecture diagram
GitHub: release v1.0.0, pin the repo on your profile</t>
  </si>
  <si>
    <t xml:space="preserve">Docker &amp; Compose, done properly</t>
  </si>
  <si>
    <t xml:space="preserve">• Multi-stage builds, non-root user, slim/distroless, .dockerignore, layer caching
• Scan images with Trivy in CI
• Compose stack (gateway, Postgres, Redis) with healthchecks, profiles, Makefile targets
• Integration tests against the stack</t>
  </si>
  <si>
    <t xml:space="preserve">• Docker docs: build best practices
• Trivy docs
• Hadolint
• Docker Compose docs
• Testcontainers docs</t>
  </si>
  <si>
    <t xml:space="preserve">Image under 200 MB, non-root, zero critical CVEs, scan enforced in CI; `make up` boots everything and `make test-integration` passes</t>
  </si>
  <si>
    <t xml:space="preserve">LinkedIn: image-size and CVE count before/after hardening your Dockerfile
GitHub: polish Makefile and Compose docs</t>
  </si>
  <si>
    <t xml:space="preserve">v2: Docker and Compose merged into one week.</t>
  </si>
  <si>
    <t xml:space="preserve">Kubernetes core</t>
  </si>
  <si>
    <t xml:space="preserve">• kind cluster; pods, deployments, services, namespaces
• kubectl debugging (logs, describe, exec, events)
• Begin CKA course labs</t>
  </si>
  <si>
    <t xml:space="preserve">• Kubernetes docs: tutorials
• Kubernetes Up &amp; Running (Burns et al.)
• KodeKloud CKA course</t>
  </si>
  <si>
    <t xml:space="preserve">Gateway, Postgres, Redis running on kind via plain manifests</t>
  </si>
  <si>
    <t xml:space="preserve">LinkedIn: 'Kubernetes mental model for frontend developers' diagram (your unique angle)</t>
  </si>
  <si>
    <t xml:space="preserve">Config, Helm &amp; Kustomize</t>
  </si>
  <si>
    <t xml:space="preserve">• ConfigMaps, Secrets, probes, requests/limits, PodDisruptionBudget
• Package with Helm chart; env overlays with Kustomize
• Kill pods during traffic</t>
  </si>
  <si>
    <t xml:space="preserve">• Kubernetes docs: configure pods, probes, PDB
• Helm docs
• Kustomize docs
• Kubernetes Patterns (Ibryam)</t>
  </si>
  <si>
    <t xml:space="preserve">Helm chart + Kustomize overlays (dev/staging/prod); pod-kill test shows zero failed requests</t>
  </si>
  <si>
    <t xml:space="preserve">LinkedIn: GIF of killing pods under traffic with zero failed requests</t>
  </si>
  <si>
    <t xml:space="preserve">Ingress, Gateway API, TLS, scaling</t>
  </si>
  <si>
    <t xml:space="preserve">• ingress-nginx and Gateway API basics
• cert-manager TLS, ExternalDNS
• HPA, AKS cluster autoscaler, NetworkPolicy; load test a rollout</t>
  </si>
  <si>
    <t xml:space="preserve">• ingress-nginx docs
• Kubernetes Gateway API docs
• cert-manager docs
• ExternalDNS docs</t>
  </si>
  <si>
    <t xml:space="preserve">HTTPS ingress with automatic certs and DNS; HPA + node autoscaling; zero-downtime rollout proven with k6</t>
  </si>
  <si>
    <t xml:space="preserve">LinkedIn: k6 graph of a zero-downtime rollout, plus what failed first</t>
  </si>
  <si>
    <t xml:space="preserve">Terraform + AKS + policy scans</t>
  </si>
  <si>
    <t xml:space="preserve">• Terraform modules, remote state with locking (Azure Storage)
• Provision AKS, ACR, managed Postgres, managed identity
• Scan IaC with Checkov/tfsec; PR plans via Atlantis or CI; read about Terragrunt, Pulumi, Crossplane</t>
  </si>
  <si>
    <t xml:space="preserve">• HashiCorp Terraform tutorials
• Terraform: Up &amp; Running (Brikman)
• Azure AKS docs
• Checkov docs
• Atlantis docs</t>
  </si>
  <si>
    <t xml:space="preserve">`terraform apply` builds the full environment; IaC scan blocks insecure changes in CI; teardown script</t>
  </si>
  <si>
    <t xml:space="preserve">LinkedIn: 'AKS from zero with Terraform in N minutes' plus one cost lesson
GitHub: module READMEs</t>
  </si>
  <si>
    <t xml:space="preserve">GitOps with Argo CD</t>
  </si>
  <si>
    <t xml:space="preserve">• CI: GitHub Actions build, test, scan, push to ACR (compare quickly with Azure DevOps, GitLab CI, Jenkins)
• Install Argo CD on AKS; app-of-apps and ApplicationSets
• Sync waves, health checks, RBAC/SSO, Argo CD Image Updater; know how Flux differs</t>
  </si>
  <si>
    <t xml:space="preserve">• Argo CD docs (getting started, ApplicationSet)
• GitOps and Kubernetes (Yuen et al.)
• GitHub Actions docs: environments
• Flux docs (comparison)</t>
  </si>
  <si>
    <t xml:space="preserve">Git is the source of truth: merge to main auto-syncs staging, approval promotes prod, rollback via git revert tested</t>
  </si>
  <si>
    <t xml:space="preserve">GitHub: make the GitOps repo public (no secrets)
LinkedIn: Argo CD sync-tree screenshot + 'what I'd do differently'</t>
  </si>
  <si>
    <t xml:space="preserve">Secrets, policy &amp; supply chain</t>
  </si>
  <si>
    <t xml:space="preserve">• Azure Key Vault + External Secrets Operator + workload identity
• Kyverno (or OPA Gatekeeper) policies: no root, require limits, signed images only
• Sign images with cosign; generate SBOM; Pod Security Standards; Renovate/Dependabot</t>
  </si>
  <si>
    <t xml:space="preserve">• External Secrets Operator docs
• Kyverno docs
• Sigstore/cosign docs
• AKS security best practices
• CKS curriculum (reference)</t>
  </si>
  <si>
    <t xml:space="preserve">PROJECT 2: v2 on AKS: no secrets in Git, policies enforced at admission, signed images, SBOM. Book CKA exam</t>
  </si>
  <si>
    <t xml:space="preserve">LinkedIn: article 'Phase 2: from VM to GitOps on AKS' with security checklist
GitHub: release v2.0.0</t>
  </si>
  <si>
    <t xml:space="preserve">LLM &amp; transformer fundamentals</t>
  </si>
  <si>
    <t xml:space="preserve">• Tokenization (BPE), embeddings, self-attention (Q/K/V), causal masking, RoPE, GQA
• Build nanoGPT following Karpathy; train a tiny model on a free or cheap GPU
• PyTorch basics: tensors, autograd, training loop, mixed precision, GPU memory use</t>
  </si>
  <si>
    <t xml:space="preserve">• Karpathy: Neural Networks: Zero to Hero (micrograd, Let's build GPT, GPT Tokenizer)
• Jay Alammar: The Illustrated Transformer
• PyTorch official tutorials
• Hugging Face LLM course</t>
  </si>
  <si>
    <t xml:space="preserve">nanoGPT repo with training log and notes explaining each block; you can explain attention, KV cache and GQA from a whiteboard</t>
  </si>
  <si>
    <t xml:space="preserve">LinkedIn: 'Attention explained for frontend developers' diagram plus your nanoGPT sample output
GitHub: publish nanogpt-notes repo</t>
  </si>
  <si>
    <t xml:space="preserve">New in v2: ML basics that inference roles expect.</t>
  </si>
  <si>
    <t xml:space="preserve">Inference fundamentals</t>
  </si>
  <si>
    <t xml:space="preserve">• Prefill vs decode, KV cache, GQA, batching, attention memory
• Compute KV cache size per token
• Estimate max concurrency for an 8B model
• Dense vs MoE memory math; arithmetic intensity and the roofline model</t>
  </si>
  <si>
    <t xml:space="preserve">• kipply: Transformer Inference Arithmetic
• Lilian Weng: Large Transformer Model Inference Optimization
• Hugging Face LLM inference guide
• Vishakha Sadhwani: The AI Inference Engineering Roadmap (use as a checklist)</t>
  </si>
  <si>
    <t xml:space="preserve">Notebook computing weights + KV cache memory and max concurrency on 24 GB vs 80 GB GPU</t>
  </si>
  <si>
    <t xml:space="preserve">LinkedIn: infographic 'How much memory does an LLM really need?' using your KV cache math</t>
  </si>
  <si>
    <t xml:space="preserve">GPU basics &amp; first kernel</t>
  </si>
  <si>
    <t xml:space="preserve">• Memory hierarchy, bandwidth- vs compute-bound
• nvidia-smi, DCGM metrics, GPU selection
• Write one simple kernel (vector add, then tiled matmul) in Triton or CUDA and profile it</t>
  </si>
  <si>
    <t xml:space="preserve">• How to Think About GPUs (jax-ml scaling book)
• Horacio He: Making Deep Learning Go Brrrr
• NVIDIA CUDA programming guide, intro
• GPU MODE lectures (YouTube)
• Programming Massively Parallel Processors (Hwu, Kirk), early chapters
• Triton tutorials</t>
  </si>
  <si>
    <t xml:space="preserve">Comparison table: L4 / A10 / A100 / H100 on memory, bandwidth, $/hr, fit for 8B-70B; plus kernel repo with a profiler screenshot</t>
  </si>
  <si>
    <t xml:space="preserve">LinkedIn: GPU comparison table (memory, bandwidth, $/hr) and which you'd pick for 8B</t>
  </si>
  <si>
    <t xml:space="preserve">Serve with vLLM</t>
  </si>
  <si>
    <t xml:space="preserve">• Run vLLM OpenAI-compatible server on rented GPU
• Tune max-model-len, gpu-memory-utilization
• Place behind your gateway with streaming</t>
  </si>
  <si>
    <t xml:space="preserve">• vLLM docs (quickstart, serving)
• PagedAttention paper
• RunPod / Lambda Labs docs</t>
  </si>
  <si>
    <t xml:space="preserve">Self-hosted model streaming through gateway with health checks and timeouts</t>
  </si>
  <si>
    <t xml:space="preserve">LinkedIn: demo video of a self-hosted model streaming through your gateway</t>
  </si>
  <si>
    <t xml:space="preserve">Benchmarking</t>
  </si>
  <si>
    <t xml:space="preserve">• Measure TTFT, inter-token latency, throughput, concurrency 1-128
• Use vLLM benchmark scripts or GenAI-Perf
• Fix a repeatable test harness</t>
  </si>
  <si>
    <t xml:space="preserve">• vLLM benchmarks docs
• NVIDIA GenAI-Perf docs
• Locust docs</t>
  </si>
  <si>
    <t xml:space="preserve">Reproducible benchmark script + committed results and charts</t>
  </si>
  <si>
    <t xml:space="preserve">LinkedIn: benchmark chart, TTFT vs concurrency
GitHub: commit benchmarks/ with scripts and CSVs</t>
  </si>
  <si>
    <t xml:space="preserve">Quantization &amp; optimization</t>
  </si>
  <si>
    <t xml:space="preserve">• FP8, AWQ, GPTQ; prefix caching; speculative decoding
• Check quality with lm-evaluation-harness
• Pick a recommended config</t>
  </si>
  <si>
    <t xml:space="preserve">• vLLM quantization docs
• AWQ paper
• EleutherAI lm-evaluation-harness</t>
  </si>
  <si>
    <t xml:space="preserve">Table of speed, memory, and quality across configs, with a justified recommendation</t>
  </si>
  <si>
    <t xml:space="preserve">LinkedIn: quantization trade-off table; ask readers which trade-off they'd choose</t>
  </si>
  <si>
    <t xml:space="preserve">Multi-GPU &amp; distributed inference</t>
  </si>
  <si>
    <t xml:space="preserve">• Tensor vs pipeline vs expert parallelism: when each fits; NVLink vs PCIe impact
• Collectives (all-reduce, all-gather) and NCCL basics; read GPU topology with `nvidia-smi topo -m`
• Run vLLM with tensor-parallel-size 2 on a 2-GPU rental; compare TP=1 vs TP=2 on throughput and latency</t>
  </si>
  <si>
    <t xml:space="preserve">• Hugging Face: The Ultra-Scale Playbook
• Google/JAX: How to Scale Your Model
• vLLM docs: parallelism and scaling
• NVIDIA NCCL docs (overview)
• Megatron-LM paper (tensor parallelism)</t>
  </si>
  <si>
    <t xml:space="preserve">Benchmark of TP=1 vs TP=2, including a model that only fits with TP=2; scaling-efficiency chart and a one-page note on communication cost</t>
  </si>
  <si>
    <t xml:space="preserve">LinkedIn: scaling-efficiency chart, 'What a second GPU actually buys you'
GitHub: add results to benchmarks/</t>
  </si>
  <si>
    <t xml:space="preserve">New in v2: multi-GPU work is a core inference-engineer skill; needs a 2-GPU rental, so budget for it.</t>
  </si>
  <si>
    <t xml:space="preserve">Alternatives, routing &amp; canary</t>
  </si>
  <si>
    <t xml:space="preserve">• Try SGLang (prefix cache) against vLLM; skim TGI, TensorRT-LLM and Triton docs
• Model router: self-hosted vs hosted by policy, with fallback
• Canary a new model version with Argo Rollouts and metric analysis
• Read NVIDIA Dynamo and llm-d docs: cache-aware routing, prefill/decode disaggregation</t>
  </si>
  <si>
    <t xml:space="preserve">• SGLang docs
• Hugging Face TGI docs
• NVIDIA Triton docs
• Argo Rollouts docs
• NVIDIA Dynamo docs
• llm-d docs
• TensorRT-LLM docs</t>
  </si>
  <si>
    <t xml:space="preserve">Gateway routes by policy; new model version promoted via automated canary and rolled back on bad metrics</t>
  </si>
  <si>
    <t xml:space="preserve">LinkedIn: screenshot of an Argo Rollouts canary promoting or aborting a model version</t>
  </si>
  <si>
    <t xml:space="preserve">GPUs on Kubernetes &amp; MLOps tooling</t>
  </si>
  <si>
    <t xml:space="preserve">• AKS GPU node pool, taints/tolerations, NVIDIA GPU Operator
• Weights cache on PVC; KServe or Ray Serve; KEDA on queue depth and KV-cache usage (not CPU)
• Track model versions in MLflow registry; know where Kubeflow fits</t>
  </si>
  <si>
    <t xml:space="preserve">• NVIDIA GPU Operator docs
• KServe docs
• KEDA docs
• MLflow docs
• Kubeflow docs (awareness)</t>
  </si>
  <si>
    <t xml:space="preserve">vLLM as a Kubernetes deployment (via Argo CD) with cached weights, queue-based scaling, registered model version</t>
  </si>
  <si>
    <t xml:space="preserve">LinkedIn: 'GPU on AKS gotchas' short list from what actually broke</t>
  </si>
  <si>
    <t xml:space="preserve">Cost &amp; capacity</t>
  </si>
  <si>
    <t xml:space="preserve">• Cost per 1M tokens, utilization, batch vs realtime
• Install OpenCost/Kubecost for per-namespace cost
• Capacity plan; self-host vs API break-even</t>
  </si>
  <si>
    <t xml:space="preserve">• OpenCost docs
• Chip Huyen: AI Engineering (inference chapters)
• Google SRE Workbook: capacity</t>
  </si>
  <si>
    <t xml:space="preserve">PROJECT 3: Serving platform report: benchmarks, cost model, OpenCost dashboard, recommended config</t>
  </si>
  <si>
    <t xml:space="preserve">LinkedIn: article 'What it costs to serve an 8B model' with cost per 1M tokens
GitHub: publish the report</t>
  </si>
  <si>
    <t xml:space="preserve">Tracing &amp; the Grafana stack</t>
  </si>
  <si>
    <t xml:space="preserve">• OpenTelemetry in FastAPI; trace propagation
• Collector -&gt; Tempo (traces) and Loki (logs)
• Scrape vLLM Prometheus metrics</t>
  </si>
  <si>
    <t xml:space="preserve">• OpenTelemetry Python docs
• Grafana Tempo and Loki docs
• vLLM metrics docs</t>
  </si>
  <si>
    <t xml:space="preserve">One trace links gateway, queue, and vLLM timings; logs searchable by trace ID in Loki</t>
  </si>
  <si>
    <t xml:space="preserve">LinkedIn: one trace screenshot following a request across layers</t>
  </si>
  <si>
    <t xml:space="preserve">Metrics, dashboards &amp; alerting</t>
  </si>
  <si>
    <t xml:space="preserve">• kube-prometheus-stack via Argo CD; RED + USE methods
• DCGM GPU exporter; Alertmanager routing
• Dashboards as code (JSON in repo)</t>
  </si>
  <si>
    <t xml:space="preserve">• Prometheus docs
• Grafana tutorials
• NVIDIA DCGM exporter
• Alertmanager docs</t>
  </si>
  <si>
    <t xml:space="preserve">Dashboards for latency, TTFT, tokens/s, queue depth, GPU util, KV-cache utilization, error rate, cost; alerts to Slack/email</t>
  </si>
  <si>
    <t xml:space="preserve">GitHub: commit dashboards-as-code
LinkedIn: Grafana walkthrough, metrics you watch and why</t>
  </si>
  <si>
    <t xml:space="preserve">LLM observability</t>
  </si>
  <si>
    <t xml:space="preserve">• Self-host Langfuse; trace prompts, tokens, cost
• Prompt versioning
• PII redaction before logging</t>
  </si>
  <si>
    <t xml:space="preserve">• Langfuse docs
• Arize Phoenix docs (alternative)</t>
  </si>
  <si>
    <t xml:space="preserve">Every request traced with tokens, latency, cost; PII scrubbed</t>
  </si>
  <si>
    <t xml:space="preserve">LinkedIn: what LLM observability showed that logs never did (tokens, cost, slow prompts)</t>
  </si>
  <si>
    <t xml:space="preserve">Evals as a CI gate</t>
  </si>
  <si>
    <t xml:space="preserve">• Golden dataset, LLM-as-judge, regression tests
• Promptfoo or DeepEval in CI
• Run nightly eval pipelines as Argo Workflows</t>
  </si>
  <si>
    <t xml:space="preserve">• Hamel Husain: Your AI product needs evals
• promptfoo docs
• Argo Workflows docs
• AI Engineering (Huyen), evaluation chapters</t>
  </si>
  <si>
    <t xml:space="preserve">Eval suite blocks merges on regression; nightly Argo Workflow reports quality trend</t>
  </si>
  <si>
    <t xml:space="preserve">LinkedIn: 'Evals as a CI gate' with a screenshot of a blocked merge</t>
  </si>
  <si>
    <t xml:space="preserve">Load &amp; soak testing</t>
  </si>
  <si>
    <t xml:space="preserve">• k6/Locust with streaming connections
• Soak test for leaks; find saturation point
• Identify the bottleneck and fix one</t>
  </si>
  <si>
    <t xml:space="preserve">• k6 docs
• Locust docs
• Brendan Gregg: USE method</t>
  </si>
  <si>
    <t xml:space="preserve">Load-test report: max concurrent streams within SLO, bottleneck, fix, before/after</t>
  </si>
  <si>
    <t xml:space="preserve">LinkedIn: draft of your key post, 'What broke at N concurrent streams'</t>
  </si>
  <si>
    <t xml:space="preserve">Resilience patterns</t>
  </si>
  <si>
    <t xml:space="preserve">• Timeouts, retries with jitter, circuit breakers, bulkheads
• Load shedding and graceful degradation
• Chaos: kill GPU pod mid-stream</t>
  </si>
  <si>
    <t xml:space="preserve">• AWS Builders' Library: timeouts, retries, backoff with jitter
• Release It! (Nygard)
• Google SRE book: handling overload</t>
  </si>
  <si>
    <t xml:space="preserve">Fallback to hosted provider when GPU fails; chaos test automated and passing</t>
  </si>
  <si>
    <t xml:space="preserve">LinkedIn: short video of the chaos test and graceful fallback</t>
  </si>
  <si>
    <t xml:space="preserve">SRE practice</t>
  </si>
  <si>
    <t xml:space="preserve">• Define SLIs/SLOs and error budgets
• Burn-rate alerts via Alertmanager
• Runbooks and a blameless postmortem</t>
  </si>
  <si>
    <t xml:space="preserve">• Google SRE Workbook: SLO chapters
• PagerDuty incident response guide</t>
  </si>
  <si>
    <t xml:space="preserve">SLO doc, alerts, runbooks, and a postmortem of a failure you caused on purpose</t>
  </si>
  <si>
    <t xml:space="preserve">LinkedIn: a sanitized blameless postmortem of your own deliberate failure</t>
  </si>
  <si>
    <t xml:space="preserve">Security for LLM systems</t>
  </si>
  <si>
    <t xml:space="preserve">• Threat model: prompt injection, data leakage, abuse
• Audit logging; Trivy Operator for in-cluster scanning; Falco for runtime alerts
• HashiCorp Vault concepts; OWASP Top 10 for LLM Apps checklist</t>
  </si>
  <si>
    <t xml:space="preserve">• OWASP Top 10 for LLM Applications
• Trivy Operator docs
• Falco docs
• HashiCorp Vault tutorials</t>
  </si>
  <si>
    <t xml:space="preserve">PROJECT 4: Threat model doc, fixes merged, runtime and image scanning active; platform v3 released</t>
  </si>
  <si>
    <t xml:space="preserve">LinkedIn: article 'Phase 4: running an LLM platform reliably'
GitHub: release v3.0.0</t>
  </si>
  <si>
    <t xml:space="preserve">Full-stack integration</t>
  </si>
  <si>
    <t xml:space="preserve">• Wire your Next.js chat UI to auth, streaming, retries
• Deploy a public demo env with spend limits
• Record a 3-minute demo video</t>
  </si>
  <si>
    <t xml:space="preserve">• Vercel AI SDK docs
• Next.js deployment docs</t>
  </si>
  <si>
    <t xml:space="preserve">Live demo: UI + gateway + self-hosted model, with rate limits and cost caps</t>
  </si>
  <si>
    <t xml:space="preserve">LinkedIn: 3-minute demo video of the full platform with your UI; set as Featured
GitHub: clean demo instructions</t>
  </si>
  <si>
    <t xml:space="preserve">Stretch (optional): Backstage golden-path template (see Tools Map) only if you are ahead of schedule.</t>
  </si>
  <si>
    <t xml:space="preserve">Public content &amp; resume</t>
  </si>
  <si>
    <t xml:space="preserve">• Write 2 posts (e.g. what broke at 100 concurrent streams)
• Rewrite resume around platform work with numbers (p95, tokens/s, $)
• Update LinkedIn
• C4 diagrams, 5+ ADRs, runbooks; polish READMEs for a hiring manager skimming in 2 minutes</t>
  </si>
  <si>
    <t xml:space="preserve">• Your own benchmark data
• Levels.fyi / Glassdoor for pay ranges
• C4 model site
• adr.github.io</t>
  </si>
  <si>
    <t xml:space="preserve">2 posts published; resume v2 with measured results; target titles on LinkedIn; architecture docs (C4, 5+ ADRs)</t>
  </si>
  <si>
    <t xml:space="preserve">LinkedIn: publish your 2 best posts as articles; update headline, About, Featured
GitHub: profile README linking projects</t>
  </si>
  <si>
    <t xml:space="preserve">Interview prep &amp; apply</t>
  </si>
  <si>
    <t xml:space="preserve">• System design: LLM serving platform, gateway, multi-tenant GPU
• Kubernetes/Linux deep-dive questions; mock interviews
• Apply to 20 roles and request internal transfer talks at EY</t>
  </si>
  <si>
    <t xml:space="preserve">• System Design Interview (Alex Xu)
• AI Engineering (Huyen)
• killer.sh CKA mock exams</t>
  </si>
  <si>
    <t xml:space="preserve">PROJECT 5: 3 practiced system designs, 20 applications sent, internal transfer conversation held</t>
  </si>
  <si>
    <t xml:space="preserve">LinkedIn: 'Open to AI platform roles' post with links to projects and demo
Engage with 10 relevant posts this week</t>
  </si>
  <si>
    <t xml:space="preserve">Area</t>
  </si>
  <si>
    <t xml:space="preserve">Every project must have</t>
  </si>
  <si>
    <t xml:space="preserve">Check by week</t>
  </si>
  <si>
    <t xml:space="preserve">Code quality</t>
  </si>
  <si>
    <t xml:space="preserve">Lint, type checks, formatting enforced in CI; PR reviews even if solo (self-review checklist)</t>
  </si>
  <si>
    <t xml:space="preserve">Week 1</t>
  </si>
  <si>
    <t xml:space="preserve">Testing</t>
  </si>
  <si>
    <t xml:space="preserve">Unit + integration tests; coverage gate (80%+); tests run against real Postgres/Redis</t>
  </si>
  <si>
    <t xml:space="preserve">Week 5</t>
  </si>
  <si>
    <t xml:space="preserve">Security</t>
  </si>
  <si>
    <t xml:space="preserve">No secrets in repo; hashed keys; dependency + image scanning; least-privilege identities</t>
  </si>
  <si>
    <t xml:space="preserve">Week 15</t>
  </si>
  <si>
    <t xml:space="preserve">Infrastructure as code</t>
  </si>
  <si>
    <t xml:space="preserve">Everything reproducible with Terraform/Helm; no manual console changes</t>
  </si>
  <si>
    <t xml:space="preserve">Week 13</t>
  </si>
  <si>
    <t xml:space="preserve">Deployments</t>
  </si>
  <si>
    <t xml:space="preserve">Automated pipeline, staged environments, tested rollback, zero-downtime rollout</t>
  </si>
  <si>
    <t xml:space="preserve">Week 14</t>
  </si>
  <si>
    <t xml:space="preserve">Observability</t>
  </si>
  <si>
    <t xml:space="preserve">Structured logs, metrics, traces, dashboards in version control</t>
  </si>
  <si>
    <t xml:space="preserve">Week 27</t>
  </si>
  <si>
    <t xml:space="preserve">Reliability</t>
  </si>
  <si>
    <t xml:space="preserve">Timeouts, retries, fallback, rate limits, load-tested limits, SLOs with alerts</t>
  </si>
  <si>
    <t xml:space="preserve">Week 32</t>
  </si>
  <si>
    <t xml:space="preserve">Cost</t>
  </si>
  <si>
    <t xml:space="preserve">Cost per request/1M tokens tracked; billing alerts; teardown scripts</t>
  </si>
  <si>
    <t xml:space="preserve">Week 25</t>
  </si>
  <si>
    <t xml:space="preserve">Documentation</t>
  </si>
  <si>
    <t xml:space="preserve">README, architecture diagram, ADRs, runbooks, postmortem</t>
  </si>
  <si>
    <t xml:space="preserve">Week 35</t>
  </si>
  <si>
    <t xml:space="preserve">Category</t>
  </si>
  <si>
    <t xml:space="preserve">Tool</t>
  </si>
  <si>
    <t xml:space="preserve">Priority</t>
  </si>
  <si>
    <t xml:space="preserve">How you use it in this plan</t>
  </si>
  <si>
    <t xml:space="preserve">GitOps / CD</t>
  </si>
  <si>
    <t xml:space="preserve">Argo CD</t>
  </si>
  <si>
    <t xml:space="preserve">Must</t>
  </si>
  <si>
    <t xml:space="preserve">14</t>
  </si>
  <si>
    <t xml:space="preserve">Deploy everything from Git; app-of-apps, ApplicationSets</t>
  </si>
  <si>
    <t xml:space="preserve">Argo Rollouts</t>
  </si>
  <si>
    <t xml:space="preserve">23</t>
  </si>
  <si>
    <t xml:space="preserve">Canary model versions with metric-based rollback</t>
  </si>
  <si>
    <t xml:space="preserve">Workflows</t>
  </si>
  <si>
    <t xml:space="preserve">Argo Workflows</t>
  </si>
  <si>
    <t xml:space="preserve">Should</t>
  </si>
  <si>
    <t xml:space="preserve">29</t>
  </si>
  <si>
    <t xml:space="preserve">Nightly eval and batch pipelines</t>
  </si>
  <si>
    <t xml:space="preserve">Flux</t>
  </si>
  <si>
    <t xml:space="preserve">Awareness</t>
  </si>
  <si>
    <t xml:space="preserve">Compare with Argo CD; know the trade-offs</t>
  </si>
  <si>
    <t xml:space="preserve">CI</t>
  </si>
  <si>
    <t xml:space="preserve">GitHub Actions</t>
  </si>
  <si>
    <t xml:space="preserve">1, 14</t>
  </si>
  <si>
    <t xml:space="preserve">Build, test, scan, push images</t>
  </si>
  <si>
    <t xml:space="preserve">Azure DevOps / GitLab CI / Jenkins</t>
  </si>
  <si>
    <t xml:space="preserve">Port one pipeline to see differences; common in enterprises</t>
  </si>
  <si>
    <t xml:space="preserve">Packaging</t>
  </si>
  <si>
    <t xml:space="preserve">Helm</t>
  </si>
  <si>
    <t xml:space="preserve">11</t>
  </si>
  <si>
    <t xml:space="preserve">Chart for the gateway and platform components</t>
  </si>
  <si>
    <t xml:space="preserve">Kustomize</t>
  </si>
  <si>
    <t xml:space="preserve">Per-environment overlays</t>
  </si>
  <si>
    <t xml:space="preserve">IaC</t>
  </si>
  <si>
    <t xml:space="preserve">Terraform</t>
  </si>
  <si>
    <t xml:space="preserve">13</t>
  </si>
  <si>
    <t xml:space="preserve">AKS, ACR, Postgres, identities</t>
  </si>
  <si>
    <t xml:space="preserve">Checkov / tfsec</t>
  </si>
  <si>
    <t xml:space="preserve">Block insecure infrastructure in CI</t>
  </si>
  <si>
    <t xml:space="preserve">Atlantis / Terragrunt</t>
  </si>
  <si>
    <t xml:space="preserve">PR-based plan/apply; DRY environments</t>
  </si>
  <si>
    <t xml:space="preserve">Pulumi / Crossplane</t>
  </si>
  <si>
    <t xml:space="preserve">Alternatives; Crossplane for platform APIs</t>
  </si>
  <si>
    <t xml:space="preserve">Config mgmt</t>
  </si>
  <si>
    <t xml:space="preserve">Ansible</t>
  </si>
  <si>
    <t xml:space="preserve">7</t>
  </si>
  <si>
    <t xml:space="preserve">Reproducible VM setup</t>
  </si>
  <si>
    <t xml:space="preserve">Containers</t>
  </si>
  <si>
    <t xml:space="preserve">Docker + BuildKit</t>
  </si>
  <si>
    <t xml:space="preserve">9</t>
  </si>
  <si>
    <t xml:space="preserve">Multi-stage, cached, non-root images</t>
  </si>
  <si>
    <t xml:space="preserve">Trivy / Hadolint</t>
  </si>
  <si>
    <t xml:space="preserve">Image and Dockerfile scanning</t>
  </si>
  <si>
    <t xml:space="preserve">Kubernetes</t>
  </si>
  <si>
    <t xml:space="preserve">kubectl, kind, AKS</t>
  </si>
  <si>
    <t xml:space="preserve">10-13</t>
  </si>
  <si>
    <t xml:space="preserve">Local and managed clusters</t>
  </si>
  <si>
    <t xml:space="preserve">KEDA</t>
  </si>
  <si>
    <t xml:space="preserve">24</t>
  </si>
  <si>
    <t xml:space="preserve">Autoscale on queue depth</t>
  </si>
  <si>
    <t xml:space="preserve">ingress-nginx / Gateway API</t>
  </si>
  <si>
    <t xml:space="preserve">12</t>
  </si>
  <si>
    <t xml:space="preserve">Traffic entry and routing</t>
  </si>
  <si>
    <t xml:space="preserve">cert-manager / ExternalDNS</t>
  </si>
  <si>
    <t xml:space="preserve">Automatic TLS and DNS</t>
  </si>
  <si>
    <t xml:space="preserve">Networking</t>
  </si>
  <si>
    <t xml:space="preserve">Service mesh (Istio / Linkerd) / Cilium</t>
  </si>
  <si>
    <t xml:space="preserve">Read docs; know mTLS and eBPF use cases</t>
  </si>
  <si>
    <t xml:space="preserve">Secrets</t>
  </si>
  <si>
    <t xml:space="preserve">Key Vault + External Secrets Operator</t>
  </si>
  <si>
    <t xml:space="preserve">15</t>
  </si>
  <si>
    <t xml:space="preserve">No secrets in Git</t>
  </si>
  <si>
    <t xml:space="preserve">HashiCorp Vault</t>
  </si>
  <si>
    <t xml:space="preserve">33</t>
  </si>
  <si>
    <t xml:space="preserve">Common in non-Azure shops</t>
  </si>
  <si>
    <t xml:space="preserve">Policy</t>
  </si>
  <si>
    <t xml:space="preserve">Kyverno / OPA Gatekeeper</t>
  </si>
  <si>
    <t xml:space="preserve">Admission policies as code</t>
  </si>
  <si>
    <t xml:space="preserve">Supply chain</t>
  </si>
  <si>
    <t xml:space="preserve">cosign / Sigstore, SBOM</t>
  </si>
  <si>
    <t xml:space="preserve">Sign and verify images</t>
  </si>
  <si>
    <t xml:space="preserve">Trivy Operator / Falco</t>
  </si>
  <si>
    <t xml:space="preserve">In-cluster scanning and runtime alerts</t>
  </si>
  <si>
    <t xml:space="preserve">Prometheus + Alertmanager + Grafana</t>
  </si>
  <si>
    <t xml:space="preserve">27</t>
  </si>
  <si>
    <t xml:space="preserve">Metrics, dashboards, alerts</t>
  </si>
  <si>
    <t xml:space="preserve">OpenTelemetry + Tempo + Loki</t>
  </si>
  <si>
    <t xml:space="preserve">26</t>
  </si>
  <si>
    <t xml:space="preserve">Traces and logs</t>
  </si>
  <si>
    <t xml:space="preserve">Langfuse / Phoenix</t>
  </si>
  <si>
    <t xml:space="preserve">28</t>
  </si>
  <si>
    <t xml:space="preserve">LLM tracing and cost</t>
  </si>
  <si>
    <t xml:space="preserve">OpenCost / Kubecost</t>
  </si>
  <si>
    <t xml:space="preserve">25</t>
  </si>
  <si>
    <t xml:space="preserve">Per-namespace and per-model cost</t>
  </si>
  <si>
    <t xml:space="preserve">ML serving</t>
  </si>
  <si>
    <t xml:space="preserve">vLLM, SGLang, TGI, Triton</t>
  </si>
  <si>
    <t xml:space="preserve">19-23</t>
  </si>
  <si>
    <t xml:space="preserve">Model servers; vLLM as primary</t>
  </si>
  <si>
    <t xml:space="preserve">KServe / Ray Serve</t>
  </si>
  <si>
    <t xml:space="preserve">Serving abstraction on Kubernetes</t>
  </si>
  <si>
    <t xml:space="preserve">MLOps</t>
  </si>
  <si>
    <t xml:space="preserve">MLflow</t>
  </si>
  <si>
    <t xml:space="preserve">Model registry and versioning</t>
  </si>
  <si>
    <t xml:space="preserve">Kubeflow</t>
  </si>
  <si>
    <t xml:space="preserve">Know where it fits; rarely needed for LLM serving</t>
  </si>
  <si>
    <t xml:space="preserve">Platform</t>
  </si>
  <si>
    <t xml:space="preserve">Backstage</t>
  </si>
  <si>
    <t xml:space="preserve">Stretch</t>
  </si>
  <si>
    <t xml:space="preserve">34</t>
  </si>
  <si>
    <t xml:space="preserve">Developer portal and golden-path templates</t>
  </si>
  <si>
    <t xml:space="preserve">k6 / Locust</t>
  </si>
  <si>
    <t xml:space="preserve">30</t>
  </si>
  <si>
    <t xml:space="preserve">Load and soak tests</t>
  </si>
  <si>
    <t xml:space="preserve">Velero / backups</t>
  </si>
  <si>
    <t xml:space="preserve">32</t>
  </si>
  <si>
    <t xml:space="preserve">Cluster and volume backup concepts for runbooks</t>
  </si>
  <si>
    <t xml:space="preserve">NCCL + vLLM tensor parallelism</t>
  </si>
  <si>
    <t xml:space="preserve">22</t>
  </si>
  <si>
    <t xml:space="preserve">Serve a model across 2 GPUs; measure scaling efficiency</t>
  </si>
  <si>
    <t xml:space="preserve">NVIDIA Dynamo / llm-d</t>
  </si>
  <si>
    <t xml:space="preserve">Cache-aware routing and prefill/decode disaggregation concepts</t>
  </si>
  <si>
    <t xml:space="preserve">GPU</t>
  </si>
  <si>
    <t xml:space="preserve">CUDA / Triton (language)</t>
  </si>
  <si>
    <t xml:space="preserve">18</t>
  </si>
  <si>
    <t xml:space="preserve">Write and profile one kernel to understand GPU performance</t>
  </si>
  <si>
    <t xml:space="preserve">Section</t>
  </si>
  <si>
    <t xml:space="preserve">Item</t>
  </si>
  <si>
    <t xml:space="preserve">Details</t>
  </si>
  <si>
    <t xml:space="preserve">Setup (Week 1)</t>
  </si>
  <si>
    <t xml:space="preserve">LinkedIn profile</t>
  </si>
  <si>
    <t xml:space="preserve">Headline: 'Senior Frontend Engineer -&gt; AI Platform | Building LLM infra in public'. Pin a short About covering your stack and the 36-week project. Turn on Creator mode and add 3-5 topic hashtags.</t>
  </si>
  <si>
    <t xml:space="preserve">GitHub profile</t>
  </si>
  <si>
    <t xml:space="preserve">Profile README linking projects; one public monorepo or 2-3 focused repos (gateway, infra, gitops). Pin the best 4. Use a professional photo and bio.</t>
  </si>
  <si>
    <t xml:space="preserve">Cadence</t>
  </si>
  <si>
    <t xml:space="preserve">Weekly rhythm</t>
  </si>
  <si>
    <t xml:space="preserve">Monday: post the week's goal (1-2 lines, optional). Friday: ship post with a screenshot, GIF, chart, or diagram. 30 minutes of reading and commenting on others' posts, daily is better.</t>
  </si>
  <si>
    <t xml:space="preserve">Phase recaps</t>
  </si>
  <si>
    <t xml:space="preserve">One long-form LinkedIn article at the end of each phase (weeks 8, 15, 25, 33) plus a tagged GitHub release.</t>
  </si>
  <si>
    <t xml:space="preserve">Post formats</t>
  </si>
  <si>
    <t xml:space="preserve">What works</t>
  </si>
  <si>
    <t xml:space="preserve">Before/after numbers, a mistake and its fix, a diagram, a short screen recording, a benchmark chart, a checklist. Lead with the result, then 3-5 short lines of what you learned.</t>
  </si>
  <si>
    <t xml:space="preserve">What to avoid</t>
  </si>
  <si>
    <t xml:space="preserve">Generic motivation, tutorial copy-paste, vague 'I learned Kubernetes' posts, tagging big names for attention.</t>
  </si>
  <si>
    <t xml:space="preserve">Your angle</t>
  </si>
  <si>
    <t xml:space="preserve">Frontend-to-infra story</t>
  </si>
  <si>
    <t xml:space="preserve">You already build AI chat UIs. Show the full path: the UI on top, the gateway and GPUs underneath. Few infra engineers can demo the whole stack.</t>
  </si>
  <si>
    <t xml:space="preserve">GitHub hygiene</t>
  </si>
  <si>
    <t xml:space="preserve">Every repo</t>
  </si>
  <si>
    <t xml:space="preserve">Clear README (problem, architecture diagram, how to run, results), LICENSE, tags/releases, CI badge, issues for your own roadmap, meaningful commit messages, small weekly commits.</t>
  </si>
  <si>
    <t xml:space="preserve">Proof of production grade</t>
  </si>
  <si>
    <t xml:space="preserve">Benchmarks folder, dashboards-as-code, runbooks, ADRs, SECURITY.md, postmortem, cost report. This is what separates you from tutorial repos.</t>
  </si>
  <si>
    <t xml:space="preserve">Safety</t>
  </si>
  <si>
    <t xml:space="preserve">Employer and secrets</t>
  </si>
  <si>
    <t xml:space="preserve">Never post EY or client code, data, architecture, or names. Use only your personal projects and public data. Check your employer's social media and side-project policy. Scrub secrets, keys, IPs, and cloud account IDs from screenshots and repos.</t>
  </si>
  <si>
    <t xml:space="preserve">Cost and abuse</t>
  </si>
  <si>
    <t xml:space="preserve">Do not leave public demos unprotected: add rate limits, spend caps, and auth. Shut down GPU instances.</t>
  </si>
  <si>
    <t xml:space="preserve">Growth</t>
  </si>
  <si>
    <t xml:space="preserve">Engagement</t>
  </si>
  <si>
    <t xml:space="preserve">Reply with substance to 5-10 posts a week from platform, SRE, and ML infra engineers. Follow target companies and join their engineering conversations. Thank people who give feedback and apply it.</t>
  </si>
  <si>
    <t xml:space="preserve">Consistency target</t>
  </si>
  <si>
    <t xml:space="preserve">36 Friday posts, 4 articles, 4 releases, 1 demo video by Week 34. Missing a week is fine; stopping is the failure.</t>
  </si>
  <si>
    <t xml:space="preserve">Measure</t>
  </si>
  <si>
    <t xml:space="preserve">Track monthly</t>
  </si>
  <si>
    <t xml:space="preserve">Profile views, search appearances, recruiter messages, GitHub stars/forks, and conversations started. Quality of conversations matters more than likes.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</si>
</sst>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 mmm\ yyyy"/>
    <numFmt numFmtId="166" formatCode="General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1F5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1F5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1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DED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60"/>
  </cols>
  <sheetData>
    <row r="1" customFormat="false" ht="19.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 t="n">
        <v>46300</v>
      </c>
      <c r="C3" s="5" t="s">
        <v>2</v>
      </c>
    </row>
    <row r="4" customFormat="false" ht="15" hidden="false" customHeight="true" outlineLevel="0" collapsed="false">
      <c r="A4" s="3" t="s">
        <v>3</v>
      </c>
      <c r="B4" s="6" t="n">
        <v>11</v>
      </c>
      <c r="C4" s="5" t="s">
        <v>4</v>
      </c>
    </row>
    <row r="5" customFormat="false" ht="15" hidden="false" customHeight="true" outlineLevel="0" collapsed="false">
      <c r="A5" s="3" t="s">
        <v>5</v>
      </c>
      <c r="B5" s="7" t="n">
        <f aca="false">B3+7*36-1</f>
        <v>46551</v>
      </c>
      <c r="C5" s="5"/>
    </row>
    <row r="6" customFormat="false" ht="15" hidden="false" customHeight="true" outlineLevel="0" collapsed="false">
      <c r="A6" s="3" t="s">
        <v>6</v>
      </c>
      <c r="B6" s="8" t="n">
        <f aca="false">COUNTIF('Weekly Plan'!K2:K37,"Done")</f>
        <v>0</v>
      </c>
      <c r="C6" s="5"/>
    </row>
    <row r="7" customFormat="false" ht="15" hidden="false" customHeight="true" outlineLevel="0" collapsed="false">
      <c r="A7" s="3" t="s">
        <v>7</v>
      </c>
      <c r="B7" s="9" t="n">
        <f aca="false">B6/36</f>
        <v>0</v>
      </c>
      <c r="C7" s="5"/>
    </row>
    <row r="8" customFormat="false" ht="15" hidden="false" customHeight="true" outlineLevel="0" collapsed="false">
      <c r="A8" s="3" t="s">
        <v>8</v>
      </c>
      <c r="B8" s="8" t="n">
        <f aca="true">MAX(1,MIN(36,INT((TODAY()-B3)/7)+1))</f>
        <v>1</v>
      </c>
      <c r="C8" s="5" t="s">
        <v>9</v>
      </c>
    </row>
    <row r="9" customFormat="false" ht="15" hidden="false" customHeight="true" outlineLevel="0" collapsed="false">
      <c r="A9" s="3" t="s">
        <v>10</v>
      </c>
      <c r="B9" s="8" t="n">
        <f aca="false">B4*36</f>
        <v>396</v>
      </c>
      <c r="C9" s="5"/>
    </row>
    <row r="11" customFormat="false" ht="15" hidden="false" customHeight="true" outlineLevel="0" collapsed="false">
      <c r="A11" s="10" t="s">
        <v>11</v>
      </c>
    </row>
    <row r="12" customFormat="false" ht="15" hidden="false" customHeight="true" outlineLevel="0" collapsed="false">
      <c r="A12" s="11" t="s">
        <v>12</v>
      </c>
    </row>
    <row r="13" customFormat="false" ht="15" hidden="false" customHeight="true" outlineLevel="0" collapsed="false">
      <c r="A13" s="11" t="s">
        <v>13</v>
      </c>
    </row>
    <row r="14" customFormat="false" ht="15" hidden="false" customHeight="true" outlineLevel="0" collapsed="false">
      <c r="A14" s="11" t="s">
        <v>14</v>
      </c>
    </row>
    <row r="15" customFormat="false" ht="15" hidden="false" customHeight="true" outlineLevel="0" collapsed="false">
      <c r="A15" s="11" t="s">
        <v>15</v>
      </c>
    </row>
    <row r="16" customFormat="false" ht="15" hidden="false" customHeight="true" outlineLevel="0" collapsed="false">
      <c r="A16" s="11" t="s">
        <v>16</v>
      </c>
    </row>
    <row r="17" customFormat="false" ht="15" hidden="false" customHeight="true" outlineLevel="0" collapsed="false">
      <c r="A17" s="11" t="s">
        <v>17</v>
      </c>
    </row>
    <row r="18" customFormat="false" ht="15" hidden="false" customHeight="true" outlineLevel="0" collapsed="false">
      <c r="A18" s="11" t="s">
        <v>18</v>
      </c>
    </row>
    <row r="19" customFormat="false" ht="15" hidden="false" customHeight="true" outlineLevel="0" collapsed="false">
      <c r="A19" s="10" t="s">
        <v>19</v>
      </c>
    </row>
    <row r="20" customFormat="false" ht="15" hidden="false" customHeight="true" outlineLevel="0" collapsed="false">
      <c r="A20" s="12" t="s">
        <v>20</v>
      </c>
      <c r="B20" s="11" t="s">
        <v>21</v>
      </c>
    </row>
    <row r="21" customFormat="false" ht="15" hidden="false" customHeight="true" outlineLevel="0" collapsed="false">
      <c r="A21" s="13" t="s">
        <v>22</v>
      </c>
      <c r="B21" s="11" t="s">
        <v>23</v>
      </c>
    </row>
    <row r="22" customFormat="false" ht="15" hidden="false" customHeight="true" outlineLevel="0" collapsed="false">
      <c r="A22" s="14" t="s">
        <v>24</v>
      </c>
      <c r="B22" s="11" t="s">
        <v>25</v>
      </c>
    </row>
    <row r="23" customFormat="false" ht="15" hidden="false" customHeight="true" outlineLevel="0" collapsed="false">
      <c r="A23" s="15" t="s">
        <v>26</v>
      </c>
      <c r="B23" s="11" t="s">
        <v>27</v>
      </c>
    </row>
    <row r="24" customFormat="false" ht="15" hidden="false" customHeight="true" outlineLevel="0" collapsed="false">
      <c r="A24" s="16" t="s">
        <v>28</v>
      </c>
      <c r="B24" s="11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5" min="5" style="1" width="22"/>
    <col collapsed="false" customWidth="true" hidden="false" outlineLevel="0" max="6" min="6" style="1" width="50"/>
    <col collapsed="false" customWidth="true" hidden="false" outlineLevel="0" max="7" min="7" style="1" width="46"/>
    <col collapsed="false" customWidth="true" hidden="false" outlineLevel="0" max="9" min="8" style="1" width="44"/>
    <col collapsed="false" customWidth="true" hidden="false" outlineLevel="0" max="10" min="10" style="1" width="5"/>
    <col collapsed="false" customWidth="true" hidden="false" outlineLevel="0" max="11" min="11" style="1" width="13"/>
    <col collapsed="false" customWidth="true" hidden="false" outlineLevel="0" max="12" min="12" style="1" width="28"/>
  </cols>
  <sheetData>
    <row r="1" customFormat="false" ht="24" hidden="false" customHeight="true" outlineLevel="0" collapsed="false">
      <c r="A1" s="17" t="s">
        <v>30</v>
      </c>
      <c r="B1" s="17" t="s">
        <v>31</v>
      </c>
      <c r="C1" s="17" t="s">
        <v>32</v>
      </c>
      <c r="D1" s="17" t="s">
        <v>33</v>
      </c>
      <c r="E1" s="17" t="s">
        <v>34</v>
      </c>
      <c r="F1" s="17" t="s">
        <v>35</v>
      </c>
      <c r="G1" s="17" t="s">
        <v>36</v>
      </c>
      <c r="H1" s="17" t="s">
        <v>37</v>
      </c>
      <c r="I1" s="17" t="s">
        <v>38</v>
      </c>
      <c r="J1" s="17" t="s">
        <v>39</v>
      </c>
      <c r="K1" s="17" t="s">
        <v>40</v>
      </c>
      <c r="L1" s="17" t="s">
        <v>41</v>
      </c>
    </row>
    <row r="2" customFormat="false" ht="117.75" hidden="false" customHeight="true" outlineLevel="0" collapsed="false">
      <c r="A2" s="18" t="n">
        <v>1</v>
      </c>
      <c r="B2" s="19" t="s">
        <v>20</v>
      </c>
      <c r="C2" s="20" t="n">
        <f aca="false">Overview!$B$3+7*(A2-1)</f>
        <v>46300</v>
      </c>
      <c r="D2" s="20" t="n">
        <f aca="false">C2+6</f>
        <v>46306</v>
      </c>
      <c r="E2" s="21" t="s">
        <v>42</v>
      </c>
      <c r="F2" s="22" t="s">
        <v>43</v>
      </c>
      <c r="G2" s="22" t="s">
        <v>44</v>
      </c>
      <c r="H2" s="22" t="s">
        <v>45</v>
      </c>
      <c r="I2" s="22" t="s">
        <v>46</v>
      </c>
      <c r="J2" s="22" t="n">
        <f aca="false">Overview!$B$4</f>
        <v>11</v>
      </c>
      <c r="K2" s="23" t="s">
        <v>47</v>
      </c>
      <c r="L2" s="22"/>
    </row>
    <row r="3" customFormat="false" ht="117.75" hidden="false" customHeight="true" outlineLevel="0" collapsed="false">
      <c r="A3" s="18" t="n">
        <v>2</v>
      </c>
      <c r="B3" s="19" t="s">
        <v>20</v>
      </c>
      <c r="C3" s="20" t="n">
        <f aca="false">Overview!$B$3+7*(A3-1)</f>
        <v>46307</v>
      </c>
      <c r="D3" s="20" t="n">
        <f aca="false">C3+6</f>
        <v>46313</v>
      </c>
      <c r="E3" s="21" t="s">
        <v>48</v>
      </c>
      <c r="F3" s="22" t="s">
        <v>49</v>
      </c>
      <c r="G3" s="22" t="s">
        <v>50</v>
      </c>
      <c r="H3" s="22" t="s">
        <v>51</v>
      </c>
      <c r="I3" s="22" t="s">
        <v>52</v>
      </c>
      <c r="J3" s="22" t="n">
        <f aca="false">Overview!$B$4</f>
        <v>11</v>
      </c>
      <c r="K3" s="23" t="s">
        <v>47</v>
      </c>
      <c r="L3" s="22"/>
    </row>
    <row r="4" customFormat="false" ht="117.75" hidden="false" customHeight="true" outlineLevel="0" collapsed="false">
      <c r="A4" s="18" t="n">
        <v>3</v>
      </c>
      <c r="B4" s="19" t="s">
        <v>20</v>
      </c>
      <c r="C4" s="20" t="n">
        <f aca="false">Overview!$B$3+7*(A4-1)</f>
        <v>46314</v>
      </c>
      <c r="D4" s="20" t="n">
        <f aca="false">C4+6</f>
        <v>46320</v>
      </c>
      <c r="E4" s="21" t="s">
        <v>53</v>
      </c>
      <c r="F4" s="22" t="s">
        <v>54</v>
      </c>
      <c r="G4" s="22" t="s">
        <v>55</v>
      </c>
      <c r="H4" s="22" t="s">
        <v>56</v>
      </c>
      <c r="I4" s="22" t="s">
        <v>57</v>
      </c>
      <c r="J4" s="22" t="n">
        <f aca="false">Overview!$B$4</f>
        <v>11</v>
      </c>
      <c r="K4" s="23" t="s">
        <v>47</v>
      </c>
      <c r="L4" s="22"/>
    </row>
    <row r="5" customFormat="false" ht="117.75" hidden="false" customHeight="true" outlineLevel="0" collapsed="false">
      <c r="A5" s="18" t="n">
        <v>4</v>
      </c>
      <c r="B5" s="19" t="s">
        <v>20</v>
      </c>
      <c r="C5" s="20" t="n">
        <f aca="false">Overview!$B$3+7*(A5-1)</f>
        <v>46321</v>
      </c>
      <c r="D5" s="20" t="n">
        <f aca="false">C5+6</f>
        <v>46327</v>
      </c>
      <c r="E5" s="21" t="s">
        <v>58</v>
      </c>
      <c r="F5" s="22" t="s">
        <v>59</v>
      </c>
      <c r="G5" s="22" t="s">
        <v>60</v>
      </c>
      <c r="H5" s="22" t="s">
        <v>61</v>
      </c>
      <c r="I5" s="22" t="s">
        <v>62</v>
      </c>
      <c r="J5" s="22" t="n">
        <f aca="false">Overview!$B$4</f>
        <v>11</v>
      </c>
      <c r="K5" s="23" t="s">
        <v>47</v>
      </c>
      <c r="L5" s="22"/>
    </row>
    <row r="6" customFormat="false" ht="117.75" hidden="false" customHeight="true" outlineLevel="0" collapsed="false">
      <c r="A6" s="18" t="n">
        <v>5</v>
      </c>
      <c r="B6" s="19" t="s">
        <v>20</v>
      </c>
      <c r="C6" s="20" t="n">
        <f aca="false">Overview!$B$3+7*(A6-1)</f>
        <v>46328</v>
      </c>
      <c r="D6" s="20" t="n">
        <f aca="false">C6+6</f>
        <v>46334</v>
      </c>
      <c r="E6" s="21" t="s">
        <v>63</v>
      </c>
      <c r="F6" s="22" t="s">
        <v>64</v>
      </c>
      <c r="G6" s="22" t="s">
        <v>65</v>
      </c>
      <c r="H6" s="22" t="s">
        <v>66</v>
      </c>
      <c r="I6" s="22" t="s">
        <v>67</v>
      </c>
      <c r="J6" s="22" t="n">
        <f aca="false">Overview!$B$4</f>
        <v>11</v>
      </c>
      <c r="K6" s="23" t="s">
        <v>47</v>
      </c>
      <c r="L6" s="22"/>
    </row>
    <row r="7" customFormat="false" ht="117.75" hidden="false" customHeight="true" outlineLevel="0" collapsed="false">
      <c r="A7" s="18" t="n">
        <v>6</v>
      </c>
      <c r="B7" s="19" t="s">
        <v>20</v>
      </c>
      <c r="C7" s="20" t="n">
        <f aca="false">Overview!$B$3+7*(A7-1)</f>
        <v>46335</v>
      </c>
      <c r="D7" s="20" t="n">
        <f aca="false">C7+6</f>
        <v>46341</v>
      </c>
      <c r="E7" s="21" t="s">
        <v>68</v>
      </c>
      <c r="F7" s="22" t="s">
        <v>69</v>
      </c>
      <c r="G7" s="22" t="s">
        <v>70</v>
      </c>
      <c r="H7" s="22" t="s">
        <v>71</v>
      </c>
      <c r="I7" s="22" t="s">
        <v>72</v>
      </c>
      <c r="J7" s="22" t="n">
        <f aca="false">Overview!$B$4</f>
        <v>11</v>
      </c>
      <c r="K7" s="23" t="s">
        <v>47</v>
      </c>
      <c r="L7" s="22"/>
    </row>
    <row r="8" customFormat="false" ht="117.75" hidden="false" customHeight="true" outlineLevel="0" collapsed="false">
      <c r="A8" s="18" t="n">
        <v>7</v>
      </c>
      <c r="B8" s="19" t="s">
        <v>20</v>
      </c>
      <c r="C8" s="20" t="n">
        <f aca="false">Overview!$B$3+7*(A8-1)</f>
        <v>46342</v>
      </c>
      <c r="D8" s="20" t="n">
        <f aca="false">C8+6</f>
        <v>46348</v>
      </c>
      <c r="E8" s="21" t="s">
        <v>73</v>
      </c>
      <c r="F8" s="22" t="s">
        <v>74</v>
      </c>
      <c r="G8" s="22" t="s">
        <v>75</v>
      </c>
      <c r="H8" s="22" t="s">
        <v>76</v>
      </c>
      <c r="I8" s="22" t="s">
        <v>77</v>
      </c>
      <c r="J8" s="22" t="n">
        <f aca="false">Overview!$B$4</f>
        <v>11</v>
      </c>
      <c r="K8" s="23" t="s">
        <v>47</v>
      </c>
      <c r="L8" s="22"/>
    </row>
    <row r="9" customFormat="false" ht="117.75" hidden="false" customHeight="true" outlineLevel="0" collapsed="false">
      <c r="A9" s="18" t="n">
        <v>8</v>
      </c>
      <c r="B9" s="19" t="s">
        <v>20</v>
      </c>
      <c r="C9" s="20" t="n">
        <f aca="false">Overview!$B$3+7*(A9-1)</f>
        <v>46349</v>
      </c>
      <c r="D9" s="20" t="n">
        <f aca="false">C9+6</f>
        <v>46355</v>
      </c>
      <c r="E9" s="21" t="s">
        <v>78</v>
      </c>
      <c r="F9" s="22" t="s">
        <v>79</v>
      </c>
      <c r="G9" s="22" t="s">
        <v>80</v>
      </c>
      <c r="H9" s="22" t="s">
        <v>81</v>
      </c>
      <c r="I9" s="22" t="s">
        <v>82</v>
      </c>
      <c r="J9" s="22" t="n">
        <f aca="false">Overview!$B$4</f>
        <v>11</v>
      </c>
      <c r="K9" s="23" t="s">
        <v>47</v>
      </c>
      <c r="L9" s="22"/>
    </row>
    <row r="10" customFormat="false" ht="117.75" hidden="false" customHeight="true" outlineLevel="0" collapsed="false">
      <c r="A10" s="24" t="n">
        <v>9</v>
      </c>
      <c r="B10" s="25" t="s">
        <v>22</v>
      </c>
      <c r="C10" s="26" t="n">
        <f aca="false">Overview!$B$3+7*(A10-1)</f>
        <v>46356</v>
      </c>
      <c r="D10" s="26" t="n">
        <f aca="false">C10+6</f>
        <v>46362</v>
      </c>
      <c r="E10" s="27" t="s">
        <v>83</v>
      </c>
      <c r="F10" s="22" t="s">
        <v>84</v>
      </c>
      <c r="G10" s="22" t="s">
        <v>85</v>
      </c>
      <c r="H10" s="22" t="s">
        <v>86</v>
      </c>
      <c r="I10" s="22" t="s">
        <v>87</v>
      </c>
      <c r="J10" s="22" t="n">
        <f aca="false">Overview!$B$4</f>
        <v>11</v>
      </c>
      <c r="K10" s="23" t="s">
        <v>47</v>
      </c>
      <c r="L10" s="22" t="s">
        <v>88</v>
      </c>
    </row>
    <row r="11" customFormat="false" ht="117.75" hidden="false" customHeight="true" outlineLevel="0" collapsed="false">
      <c r="A11" s="24" t="n">
        <v>10</v>
      </c>
      <c r="B11" s="25" t="s">
        <v>22</v>
      </c>
      <c r="C11" s="26" t="n">
        <f aca="false">Overview!$B$3+7*(A11-1)</f>
        <v>46363</v>
      </c>
      <c r="D11" s="26" t="n">
        <f aca="false">C11+6</f>
        <v>46369</v>
      </c>
      <c r="E11" s="27" t="s">
        <v>89</v>
      </c>
      <c r="F11" s="22" t="s">
        <v>90</v>
      </c>
      <c r="G11" s="22" t="s">
        <v>91</v>
      </c>
      <c r="H11" s="22" t="s">
        <v>92</v>
      </c>
      <c r="I11" s="22" t="s">
        <v>93</v>
      </c>
      <c r="J11" s="22" t="n">
        <f aca="false">Overview!$B$4</f>
        <v>11</v>
      </c>
      <c r="K11" s="23" t="s">
        <v>47</v>
      </c>
      <c r="L11" s="22"/>
    </row>
    <row r="12" customFormat="false" ht="117.75" hidden="false" customHeight="true" outlineLevel="0" collapsed="false">
      <c r="A12" s="24" t="n">
        <v>11</v>
      </c>
      <c r="B12" s="25" t="s">
        <v>22</v>
      </c>
      <c r="C12" s="26" t="n">
        <f aca="false">Overview!$B$3+7*(A12-1)</f>
        <v>46370</v>
      </c>
      <c r="D12" s="26" t="n">
        <f aca="false">C12+6</f>
        <v>46376</v>
      </c>
      <c r="E12" s="27" t="s">
        <v>94</v>
      </c>
      <c r="F12" s="22" t="s">
        <v>95</v>
      </c>
      <c r="G12" s="22" t="s">
        <v>96</v>
      </c>
      <c r="H12" s="22" t="s">
        <v>97</v>
      </c>
      <c r="I12" s="22" t="s">
        <v>98</v>
      </c>
      <c r="J12" s="22" t="n">
        <f aca="false">Overview!$B$4</f>
        <v>11</v>
      </c>
      <c r="K12" s="23" t="s">
        <v>47</v>
      </c>
      <c r="L12" s="22"/>
    </row>
    <row r="13" customFormat="false" ht="117.75" hidden="false" customHeight="true" outlineLevel="0" collapsed="false">
      <c r="A13" s="24" t="n">
        <v>12</v>
      </c>
      <c r="B13" s="25" t="s">
        <v>22</v>
      </c>
      <c r="C13" s="26" t="n">
        <f aca="false">Overview!$B$3+7*(A13-1)</f>
        <v>46377</v>
      </c>
      <c r="D13" s="26" t="n">
        <f aca="false">C13+6</f>
        <v>46383</v>
      </c>
      <c r="E13" s="27" t="s">
        <v>99</v>
      </c>
      <c r="F13" s="22" t="s">
        <v>100</v>
      </c>
      <c r="G13" s="22" t="s">
        <v>101</v>
      </c>
      <c r="H13" s="22" t="s">
        <v>102</v>
      </c>
      <c r="I13" s="22" t="s">
        <v>103</v>
      </c>
      <c r="J13" s="22" t="n">
        <f aca="false">Overview!$B$4</f>
        <v>11</v>
      </c>
      <c r="K13" s="23" t="s">
        <v>47</v>
      </c>
      <c r="L13" s="22"/>
    </row>
    <row r="14" customFormat="false" ht="117.75" hidden="false" customHeight="true" outlineLevel="0" collapsed="false">
      <c r="A14" s="24" t="n">
        <v>13</v>
      </c>
      <c r="B14" s="25" t="s">
        <v>22</v>
      </c>
      <c r="C14" s="26" t="n">
        <f aca="false">Overview!$B$3+7*(A14-1)</f>
        <v>46384</v>
      </c>
      <c r="D14" s="26" t="n">
        <f aca="false">C14+6</f>
        <v>46390</v>
      </c>
      <c r="E14" s="27" t="s">
        <v>104</v>
      </c>
      <c r="F14" s="22" t="s">
        <v>105</v>
      </c>
      <c r="G14" s="22" t="s">
        <v>106</v>
      </c>
      <c r="H14" s="22" t="s">
        <v>107</v>
      </c>
      <c r="I14" s="22" t="s">
        <v>108</v>
      </c>
      <c r="J14" s="22" t="n">
        <f aca="false">Overview!$B$4</f>
        <v>11</v>
      </c>
      <c r="K14" s="23" t="s">
        <v>47</v>
      </c>
      <c r="L14" s="22"/>
    </row>
    <row r="15" customFormat="false" ht="117.75" hidden="false" customHeight="true" outlineLevel="0" collapsed="false">
      <c r="A15" s="24" t="n">
        <v>14</v>
      </c>
      <c r="B15" s="25" t="s">
        <v>22</v>
      </c>
      <c r="C15" s="26" t="n">
        <f aca="false">Overview!$B$3+7*(A15-1)</f>
        <v>46391</v>
      </c>
      <c r="D15" s="26" t="n">
        <f aca="false">C15+6</f>
        <v>46397</v>
      </c>
      <c r="E15" s="27" t="s">
        <v>109</v>
      </c>
      <c r="F15" s="22" t="s">
        <v>110</v>
      </c>
      <c r="G15" s="22" t="s">
        <v>111</v>
      </c>
      <c r="H15" s="22" t="s">
        <v>112</v>
      </c>
      <c r="I15" s="22" t="s">
        <v>113</v>
      </c>
      <c r="J15" s="22" t="n">
        <f aca="false">Overview!$B$4</f>
        <v>11</v>
      </c>
      <c r="K15" s="23" t="s">
        <v>47</v>
      </c>
      <c r="L15" s="22"/>
    </row>
    <row r="16" customFormat="false" ht="117.75" hidden="false" customHeight="true" outlineLevel="0" collapsed="false">
      <c r="A16" s="24" t="n">
        <v>15</v>
      </c>
      <c r="B16" s="25" t="s">
        <v>22</v>
      </c>
      <c r="C16" s="26" t="n">
        <f aca="false">Overview!$B$3+7*(A16-1)</f>
        <v>46398</v>
      </c>
      <c r="D16" s="26" t="n">
        <f aca="false">C16+6</f>
        <v>46404</v>
      </c>
      <c r="E16" s="27" t="s">
        <v>114</v>
      </c>
      <c r="F16" s="22" t="s">
        <v>115</v>
      </c>
      <c r="G16" s="22" t="s">
        <v>116</v>
      </c>
      <c r="H16" s="22" t="s">
        <v>117</v>
      </c>
      <c r="I16" s="22" t="s">
        <v>118</v>
      </c>
      <c r="J16" s="22" t="n">
        <f aca="false">Overview!$B$4</f>
        <v>11</v>
      </c>
      <c r="K16" s="23" t="s">
        <v>47</v>
      </c>
      <c r="L16" s="22"/>
    </row>
    <row r="17" customFormat="false" ht="117.75" hidden="false" customHeight="true" outlineLevel="0" collapsed="false">
      <c r="A17" s="28" t="n">
        <v>16</v>
      </c>
      <c r="B17" s="29" t="s">
        <v>24</v>
      </c>
      <c r="C17" s="30" t="n">
        <f aca="false">Overview!$B$3+7*(A17-1)</f>
        <v>46405</v>
      </c>
      <c r="D17" s="30" t="n">
        <f aca="false">C17+6</f>
        <v>46411</v>
      </c>
      <c r="E17" s="31" t="s">
        <v>119</v>
      </c>
      <c r="F17" s="22" t="s">
        <v>120</v>
      </c>
      <c r="G17" s="22" t="s">
        <v>121</v>
      </c>
      <c r="H17" s="22" t="s">
        <v>122</v>
      </c>
      <c r="I17" s="22" t="s">
        <v>123</v>
      </c>
      <c r="J17" s="22" t="n">
        <f aca="false">Overview!$B$4</f>
        <v>11</v>
      </c>
      <c r="K17" s="23" t="s">
        <v>47</v>
      </c>
      <c r="L17" s="22" t="s">
        <v>124</v>
      </c>
    </row>
    <row r="18" customFormat="false" ht="117.75" hidden="false" customHeight="true" outlineLevel="0" collapsed="false">
      <c r="A18" s="28" t="n">
        <v>17</v>
      </c>
      <c r="B18" s="29" t="s">
        <v>24</v>
      </c>
      <c r="C18" s="30" t="n">
        <f aca="false">Overview!$B$3+7*(A18-1)</f>
        <v>46412</v>
      </c>
      <c r="D18" s="30" t="n">
        <f aca="false">C18+6</f>
        <v>46418</v>
      </c>
      <c r="E18" s="31" t="s">
        <v>125</v>
      </c>
      <c r="F18" s="22" t="s">
        <v>126</v>
      </c>
      <c r="G18" s="22" t="s">
        <v>127</v>
      </c>
      <c r="H18" s="22" t="s">
        <v>128</v>
      </c>
      <c r="I18" s="22" t="s">
        <v>129</v>
      </c>
      <c r="J18" s="22" t="n">
        <f aca="false">Overview!$B$4</f>
        <v>11</v>
      </c>
      <c r="K18" s="23" t="s">
        <v>47</v>
      </c>
      <c r="L18" s="22"/>
    </row>
    <row r="19" customFormat="false" ht="117.75" hidden="false" customHeight="true" outlineLevel="0" collapsed="false">
      <c r="A19" s="28" t="n">
        <v>18</v>
      </c>
      <c r="B19" s="29" t="s">
        <v>24</v>
      </c>
      <c r="C19" s="30" t="n">
        <f aca="false">Overview!$B$3+7*(A19-1)</f>
        <v>46419</v>
      </c>
      <c r="D19" s="30" t="n">
        <f aca="false">C19+6</f>
        <v>46425</v>
      </c>
      <c r="E19" s="31" t="s">
        <v>130</v>
      </c>
      <c r="F19" s="22" t="s">
        <v>131</v>
      </c>
      <c r="G19" s="22" t="s">
        <v>132</v>
      </c>
      <c r="H19" s="22" t="s">
        <v>133</v>
      </c>
      <c r="I19" s="22" t="s">
        <v>134</v>
      </c>
      <c r="J19" s="22" t="n">
        <f aca="false">Overview!$B$4</f>
        <v>11</v>
      </c>
      <c r="K19" s="23" t="s">
        <v>47</v>
      </c>
      <c r="L19" s="22"/>
    </row>
    <row r="20" customFormat="false" ht="117.75" hidden="false" customHeight="true" outlineLevel="0" collapsed="false">
      <c r="A20" s="28" t="n">
        <v>19</v>
      </c>
      <c r="B20" s="29" t="s">
        <v>24</v>
      </c>
      <c r="C20" s="30" t="n">
        <f aca="false">Overview!$B$3+7*(A20-1)</f>
        <v>46426</v>
      </c>
      <c r="D20" s="30" t="n">
        <f aca="false">C20+6</f>
        <v>46432</v>
      </c>
      <c r="E20" s="31" t="s">
        <v>135</v>
      </c>
      <c r="F20" s="22" t="s">
        <v>136</v>
      </c>
      <c r="G20" s="22" t="s">
        <v>137</v>
      </c>
      <c r="H20" s="22" t="s">
        <v>138</v>
      </c>
      <c r="I20" s="22" t="s">
        <v>139</v>
      </c>
      <c r="J20" s="22" t="n">
        <f aca="false">Overview!$B$4</f>
        <v>11</v>
      </c>
      <c r="K20" s="23" t="s">
        <v>47</v>
      </c>
      <c r="L20" s="22"/>
    </row>
    <row r="21" customFormat="false" ht="117.75" hidden="false" customHeight="true" outlineLevel="0" collapsed="false">
      <c r="A21" s="28" t="n">
        <v>20</v>
      </c>
      <c r="B21" s="29" t="s">
        <v>24</v>
      </c>
      <c r="C21" s="30" t="n">
        <f aca="false">Overview!$B$3+7*(A21-1)</f>
        <v>46433</v>
      </c>
      <c r="D21" s="30" t="n">
        <f aca="false">C21+6</f>
        <v>46439</v>
      </c>
      <c r="E21" s="31" t="s">
        <v>140</v>
      </c>
      <c r="F21" s="22" t="s">
        <v>141</v>
      </c>
      <c r="G21" s="22" t="s">
        <v>142</v>
      </c>
      <c r="H21" s="22" t="s">
        <v>143</v>
      </c>
      <c r="I21" s="22" t="s">
        <v>144</v>
      </c>
      <c r="J21" s="22" t="n">
        <f aca="false">Overview!$B$4</f>
        <v>11</v>
      </c>
      <c r="K21" s="23" t="s">
        <v>47</v>
      </c>
      <c r="L21" s="22"/>
    </row>
    <row r="22" customFormat="false" ht="117.75" hidden="false" customHeight="true" outlineLevel="0" collapsed="false">
      <c r="A22" s="28" t="n">
        <v>21</v>
      </c>
      <c r="B22" s="29" t="s">
        <v>24</v>
      </c>
      <c r="C22" s="30" t="n">
        <f aca="false">Overview!$B$3+7*(A22-1)</f>
        <v>46440</v>
      </c>
      <c r="D22" s="30" t="n">
        <f aca="false">C22+6</f>
        <v>46446</v>
      </c>
      <c r="E22" s="31" t="s">
        <v>145</v>
      </c>
      <c r="F22" s="22" t="s">
        <v>146</v>
      </c>
      <c r="G22" s="22" t="s">
        <v>147</v>
      </c>
      <c r="H22" s="22" t="s">
        <v>148</v>
      </c>
      <c r="I22" s="22" t="s">
        <v>149</v>
      </c>
      <c r="J22" s="22" t="n">
        <f aca="false">Overview!$B$4</f>
        <v>11</v>
      </c>
      <c r="K22" s="23" t="s">
        <v>47</v>
      </c>
      <c r="L22" s="22"/>
    </row>
    <row r="23" customFormat="false" ht="117.75" hidden="false" customHeight="true" outlineLevel="0" collapsed="false">
      <c r="A23" s="28" t="n">
        <v>22</v>
      </c>
      <c r="B23" s="29" t="s">
        <v>24</v>
      </c>
      <c r="C23" s="30" t="n">
        <f aca="false">Overview!$B$3+7*(A23-1)</f>
        <v>46447</v>
      </c>
      <c r="D23" s="30" t="n">
        <f aca="false">C23+6</f>
        <v>46453</v>
      </c>
      <c r="E23" s="31" t="s">
        <v>150</v>
      </c>
      <c r="F23" s="22" t="s">
        <v>151</v>
      </c>
      <c r="G23" s="22" t="s">
        <v>152</v>
      </c>
      <c r="H23" s="22" t="s">
        <v>153</v>
      </c>
      <c r="I23" s="22" t="s">
        <v>154</v>
      </c>
      <c r="J23" s="22" t="n">
        <f aca="false">Overview!$B$4</f>
        <v>11</v>
      </c>
      <c r="K23" s="23" t="s">
        <v>47</v>
      </c>
      <c r="L23" s="22" t="s">
        <v>155</v>
      </c>
    </row>
    <row r="24" customFormat="false" ht="117.75" hidden="false" customHeight="true" outlineLevel="0" collapsed="false">
      <c r="A24" s="28" t="n">
        <v>23</v>
      </c>
      <c r="B24" s="29" t="s">
        <v>24</v>
      </c>
      <c r="C24" s="30" t="n">
        <f aca="false">Overview!$B$3+7*(A24-1)</f>
        <v>46454</v>
      </c>
      <c r="D24" s="30" t="n">
        <f aca="false">C24+6</f>
        <v>46460</v>
      </c>
      <c r="E24" s="31" t="s">
        <v>156</v>
      </c>
      <c r="F24" s="22" t="s">
        <v>157</v>
      </c>
      <c r="G24" s="22" t="s">
        <v>158</v>
      </c>
      <c r="H24" s="22" t="s">
        <v>159</v>
      </c>
      <c r="I24" s="22" t="s">
        <v>160</v>
      </c>
      <c r="J24" s="22" t="n">
        <f aca="false">Overview!$B$4</f>
        <v>11</v>
      </c>
      <c r="K24" s="23" t="s">
        <v>47</v>
      </c>
      <c r="L24" s="22"/>
    </row>
    <row r="25" customFormat="false" ht="117.75" hidden="false" customHeight="true" outlineLevel="0" collapsed="false">
      <c r="A25" s="28" t="n">
        <v>24</v>
      </c>
      <c r="B25" s="29" t="s">
        <v>24</v>
      </c>
      <c r="C25" s="30" t="n">
        <f aca="false">Overview!$B$3+7*(A25-1)</f>
        <v>46461</v>
      </c>
      <c r="D25" s="30" t="n">
        <f aca="false">C25+6</f>
        <v>46467</v>
      </c>
      <c r="E25" s="31" t="s">
        <v>161</v>
      </c>
      <c r="F25" s="22" t="s">
        <v>162</v>
      </c>
      <c r="G25" s="22" t="s">
        <v>163</v>
      </c>
      <c r="H25" s="22" t="s">
        <v>164</v>
      </c>
      <c r="I25" s="22" t="s">
        <v>165</v>
      </c>
      <c r="J25" s="22" t="n">
        <f aca="false">Overview!$B$4</f>
        <v>11</v>
      </c>
      <c r="K25" s="23" t="s">
        <v>47</v>
      </c>
      <c r="L25" s="22"/>
    </row>
    <row r="26" customFormat="false" ht="117.75" hidden="false" customHeight="true" outlineLevel="0" collapsed="false">
      <c r="A26" s="28" t="n">
        <v>25</v>
      </c>
      <c r="B26" s="29" t="s">
        <v>24</v>
      </c>
      <c r="C26" s="30" t="n">
        <f aca="false">Overview!$B$3+7*(A26-1)</f>
        <v>46468</v>
      </c>
      <c r="D26" s="30" t="n">
        <f aca="false">C26+6</f>
        <v>46474</v>
      </c>
      <c r="E26" s="31" t="s">
        <v>166</v>
      </c>
      <c r="F26" s="22" t="s">
        <v>167</v>
      </c>
      <c r="G26" s="22" t="s">
        <v>168</v>
      </c>
      <c r="H26" s="22" t="s">
        <v>169</v>
      </c>
      <c r="I26" s="22" t="s">
        <v>170</v>
      </c>
      <c r="J26" s="22" t="n">
        <f aca="false">Overview!$B$4</f>
        <v>11</v>
      </c>
      <c r="K26" s="23" t="s">
        <v>47</v>
      </c>
      <c r="L26" s="22"/>
    </row>
    <row r="27" customFormat="false" ht="117.75" hidden="false" customHeight="true" outlineLevel="0" collapsed="false">
      <c r="A27" s="32" t="n">
        <v>26</v>
      </c>
      <c r="B27" s="33" t="s">
        <v>26</v>
      </c>
      <c r="C27" s="34" t="n">
        <f aca="false">Overview!$B$3+7*(A27-1)</f>
        <v>46475</v>
      </c>
      <c r="D27" s="34" t="n">
        <f aca="false">C27+6</f>
        <v>46481</v>
      </c>
      <c r="E27" s="35" t="s">
        <v>171</v>
      </c>
      <c r="F27" s="22" t="s">
        <v>172</v>
      </c>
      <c r="G27" s="22" t="s">
        <v>173</v>
      </c>
      <c r="H27" s="22" t="s">
        <v>174</v>
      </c>
      <c r="I27" s="22" t="s">
        <v>175</v>
      </c>
      <c r="J27" s="22" t="n">
        <f aca="false">Overview!$B$4</f>
        <v>11</v>
      </c>
      <c r="K27" s="23" t="s">
        <v>47</v>
      </c>
      <c r="L27" s="22"/>
    </row>
    <row r="28" customFormat="false" ht="117.75" hidden="false" customHeight="true" outlineLevel="0" collapsed="false">
      <c r="A28" s="32" t="n">
        <v>27</v>
      </c>
      <c r="B28" s="33" t="s">
        <v>26</v>
      </c>
      <c r="C28" s="34" t="n">
        <f aca="false">Overview!$B$3+7*(A28-1)</f>
        <v>46482</v>
      </c>
      <c r="D28" s="34" t="n">
        <f aca="false">C28+6</f>
        <v>46488</v>
      </c>
      <c r="E28" s="35" t="s">
        <v>176</v>
      </c>
      <c r="F28" s="22" t="s">
        <v>177</v>
      </c>
      <c r="G28" s="22" t="s">
        <v>178</v>
      </c>
      <c r="H28" s="22" t="s">
        <v>179</v>
      </c>
      <c r="I28" s="22" t="s">
        <v>180</v>
      </c>
      <c r="J28" s="22" t="n">
        <f aca="false">Overview!$B$4</f>
        <v>11</v>
      </c>
      <c r="K28" s="23" t="s">
        <v>47</v>
      </c>
      <c r="L28" s="22"/>
    </row>
    <row r="29" customFormat="false" ht="117.75" hidden="false" customHeight="true" outlineLevel="0" collapsed="false">
      <c r="A29" s="32" t="n">
        <v>28</v>
      </c>
      <c r="B29" s="33" t="s">
        <v>26</v>
      </c>
      <c r="C29" s="34" t="n">
        <f aca="false">Overview!$B$3+7*(A29-1)</f>
        <v>46489</v>
      </c>
      <c r="D29" s="34" t="n">
        <f aca="false">C29+6</f>
        <v>46495</v>
      </c>
      <c r="E29" s="35" t="s">
        <v>181</v>
      </c>
      <c r="F29" s="22" t="s">
        <v>182</v>
      </c>
      <c r="G29" s="22" t="s">
        <v>183</v>
      </c>
      <c r="H29" s="22" t="s">
        <v>184</v>
      </c>
      <c r="I29" s="22" t="s">
        <v>185</v>
      </c>
      <c r="J29" s="22" t="n">
        <f aca="false">Overview!$B$4</f>
        <v>11</v>
      </c>
      <c r="K29" s="23" t="s">
        <v>47</v>
      </c>
      <c r="L29" s="22"/>
    </row>
    <row r="30" customFormat="false" ht="117.75" hidden="false" customHeight="true" outlineLevel="0" collapsed="false">
      <c r="A30" s="32" t="n">
        <v>29</v>
      </c>
      <c r="B30" s="33" t="s">
        <v>26</v>
      </c>
      <c r="C30" s="34" t="n">
        <f aca="false">Overview!$B$3+7*(A30-1)</f>
        <v>46496</v>
      </c>
      <c r="D30" s="34" t="n">
        <f aca="false">C30+6</f>
        <v>46502</v>
      </c>
      <c r="E30" s="35" t="s">
        <v>186</v>
      </c>
      <c r="F30" s="22" t="s">
        <v>187</v>
      </c>
      <c r="G30" s="22" t="s">
        <v>188</v>
      </c>
      <c r="H30" s="22" t="s">
        <v>189</v>
      </c>
      <c r="I30" s="22" t="s">
        <v>190</v>
      </c>
      <c r="J30" s="22" t="n">
        <f aca="false">Overview!$B$4</f>
        <v>11</v>
      </c>
      <c r="K30" s="23" t="s">
        <v>47</v>
      </c>
      <c r="L30" s="22"/>
    </row>
    <row r="31" customFormat="false" ht="117.75" hidden="false" customHeight="true" outlineLevel="0" collapsed="false">
      <c r="A31" s="32" t="n">
        <v>30</v>
      </c>
      <c r="B31" s="33" t="s">
        <v>26</v>
      </c>
      <c r="C31" s="34" t="n">
        <f aca="false">Overview!$B$3+7*(A31-1)</f>
        <v>46503</v>
      </c>
      <c r="D31" s="34" t="n">
        <f aca="false">C31+6</f>
        <v>46509</v>
      </c>
      <c r="E31" s="35" t="s">
        <v>191</v>
      </c>
      <c r="F31" s="22" t="s">
        <v>192</v>
      </c>
      <c r="G31" s="22" t="s">
        <v>193</v>
      </c>
      <c r="H31" s="22" t="s">
        <v>194</v>
      </c>
      <c r="I31" s="22" t="s">
        <v>195</v>
      </c>
      <c r="J31" s="22" t="n">
        <f aca="false">Overview!$B$4</f>
        <v>11</v>
      </c>
      <c r="K31" s="23" t="s">
        <v>47</v>
      </c>
      <c r="L31" s="22"/>
    </row>
    <row r="32" customFormat="false" ht="117.75" hidden="false" customHeight="true" outlineLevel="0" collapsed="false">
      <c r="A32" s="32" t="n">
        <v>31</v>
      </c>
      <c r="B32" s="33" t="s">
        <v>26</v>
      </c>
      <c r="C32" s="34" t="n">
        <f aca="false">Overview!$B$3+7*(A32-1)</f>
        <v>46510</v>
      </c>
      <c r="D32" s="34" t="n">
        <f aca="false">C32+6</f>
        <v>46516</v>
      </c>
      <c r="E32" s="35" t="s">
        <v>196</v>
      </c>
      <c r="F32" s="22" t="s">
        <v>197</v>
      </c>
      <c r="G32" s="22" t="s">
        <v>198</v>
      </c>
      <c r="H32" s="22" t="s">
        <v>199</v>
      </c>
      <c r="I32" s="22" t="s">
        <v>200</v>
      </c>
      <c r="J32" s="22" t="n">
        <f aca="false">Overview!$B$4</f>
        <v>11</v>
      </c>
      <c r="K32" s="23" t="s">
        <v>47</v>
      </c>
      <c r="L32" s="22"/>
    </row>
    <row r="33" customFormat="false" ht="117.75" hidden="false" customHeight="true" outlineLevel="0" collapsed="false">
      <c r="A33" s="32" t="n">
        <v>32</v>
      </c>
      <c r="B33" s="33" t="s">
        <v>26</v>
      </c>
      <c r="C33" s="34" t="n">
        <f aca="false">Overview!$B$3+7*(A33-1)</f>
        <v>46517</v>
      </c>
      <c r="D33" s="34" t="n">
        <f aca="false">C33+6</f>
        <v>46523</v>
      </c>
      <c r="E33" s="35" t="s">
        <v>201</v>
      </c>
      <c r="F33" s="22" t="s">
        <v>202</v>
      </c>
      <c r="G33" s="22" t="s">
        <v>203</v>
      </c>
      <c r="H33" s="22" t="s">
        <v>204</v>
      </c>
      <c r="I33" s="22" t="s">
        <v>205</v>
      </c>
      <c r="J33" s="22" t="n">
        <f aca="false">Overview!$B$4</f>
        <v>11</v>
      </c>
      <c r="K33" s="23" t="s">
        <v>47</v>
      </c>
      <c r="L33" s="22"/>
    </row>
    <row r="34" customFormat="false" ht="117.75" hidden="false" customHeight="true" outlineLevel="0" collapsed="false">
      <c r="A34" s="32" t="n">
        <v>33</v>
      </c>
      <c r="B34" s="33" t="s">
        <v>26</v>
      </c>
      <c r="C34" s="34" t="n">
        <f aca="false">Overview!$B$3+7*(A34-1)</f>
        <v>46524</v>
      </c>
      <c r="D34" s="34" t="n">
        <f aca="false">C34+6</f>
        <v>46530</v>
      </c>
      <c r="E34" s="35" t="s">
        <v>206</v>
      </c>
      <c r="F34" s="22" t="s">
        <v>207</v>
      </c>
      <c r="G34" s="22" t="s">
        <v>208</v>
      </c>
      <c r="H34" s="22" t="s">
        <v>209</v>
      </c>
      <c r="I34" s="22" t="s">
        <v>210</v>
      </c>
      <c r="J34" s="22" t="n">
        <f aca="false">Overview!$B$4</f>
        <v>11</v>
      </c>
      <c r="K34" s="23" t="s">
        <v>47</v>
      </c>
      <c r="L34" s="22"/>
    </row>
    <row r="35" customFormat="false" ht="117.75" hidden="false" customHeight="true" outlineLevel="0" collapsed="false">
      <c r="A35" s="36" t="n">
        <v>34</v>
      </c>
      <c r="B35" s="37" t="s">
        <v>28</v>
      </c>
      <c r="C35" s="38" t="n">
        <f aca="false">Overview!$B$3+7*(A35-1)</f>
        <v>46531</v>
      </c>
      <c r="D35" s="38" t="n">
        <f aca="false">C35+6</f>
        <v>46537</v>
      </c>
      <c r="E35" s="39" t="s">
        <v>211</v>
      </c>
      <c r="F35" s="22" t="s">
        <v>212</v>
      </c>
      <c r="G35" s="22" t="s">
        <v>213</v>
      </c>
      <c r="H35" s="22" t="s">
        <v>214</v>
      </c>
      <c r="I35" s="22" t="s">
        <v>215</v>
      </c>
      <c r="J35" s="22" t="n">
        <f aca="false">Overview!$B$4</f>
        <v>11</v>
      </c>
      <c r="K35" s="23" t="s">
        <v>47</v>
      </c>
      <c r="L35" s="22" t="s">
        <v>216</v>
      </c>
    </row>
    <row r="36" customFormat="false" ht="117.75" hidden="false" customHeight="true" outlineLevel="0" collapsed="false">
      <c r="A36" s="36" t="n">
        <v>35</v>
      </c>
      <c r="B36" s="37" t="s">
        <v>28</v>
      </c>
      <c r="C36" s="38" t="n">
        <f aca="false">Overview!$B$3+7*(A36-1)</f>
        <v>46538</v>
      </c>
      <c r="D36" s="38" t="n">
        <f aca="false">C36+6</f>
        <v>46544</v>
      </c>
      <c r="E36" s="39" t="s">
        <v>217</v>
      </c>
      <c r="F36" s="22" t="s">
        <v>218</v>
      </c>
      <c r="G36" s="22" t="s">
        <v>219</v>
      </c>
      <c r="H36" s="22" t="s">
        <v>220</v>
      </c>
      <c r="I36" s="22" t="s">
        <v>221</v>
      </c>
      <c r="J36" s="22" t="n">
        <f aca="false">Overview!$B$4</f>
        <v>11</v>
      </c>
      <c r="K36" s="23" t="s">
        <v>47</v>
      </c>
      <c r="L36" s="22"/>
    </row>
    <row r="37" customFormat="false" ht="117.75" hidden="false" customHeight="true" outlineLevel="0" collapsed="false">
      <c r="A37" s="36" t="n">
        <v>36</v>
      </c>
      <c r="B37" s="37" t="s">
        <v>28</v>
      </c>
      <c r="C37" s="38" t="n">
        <f aca="false">Overview!$B$3+7*(A37-1)</f>
        <v>46545</v>
      </c>
      <c r="D37" s="38" t="n">
        <f aca="false">C37+6</f>
        <v>46551</v>
      </c>
      <c r="E37" s="39" t="s">
        <v>222</v>
      </c>
      <c r="F37" s="22" t="s">
        <v>223</v>
      </c>
      <c r="G37" s="22" t="s">
        <v>224</v>
      </c>
      <c r="H37" s="22" t="s">
        <v>225</v>
      </c>
      <c r="I37" s="22" t="s">
        <v>226</v>
      </c>
      <c r="J37" s="22" t="n">
        <f aca="false">Overview!$B$4</f>
        <v>11</v>
      </c>
      <c r="K37" s="23" t="s">
        <v>47</v>
      </c>
      <c r="L37" s="22"/>
    </row>
  </sheetData>
  <autoFilter ref="A1:L37"/>
  <conditionalFormatting sqref="K2:K37">
    <cfRule type="cellIs" priority="2" operator="equal" aboveAverage="0" equalAverage="0" bottom="0" percent="0" rank="0" text="" dxfId="9">
      <formula>"Done"</formula>
    </cfRule>
    <cfRule type="cellIs" priority="3" operator="equal" aboveAverage="0" equalAverage="0" bottom="0" percent="0" rank="0" text="" dxfId="10">
      <formula>"In progress"</formula>
    </cfRule>
    <cfRule type="cellIs" priority="4" operator="equal" aboveAverage="0" equalAverage="0" bottom="0" percent="0" rank="0" text="" dxfId="11">
      <formula>"Blocked"</formula>
    </cfRule>
  </conditionalFormatting>
  <dataValidations count="1">
    <dataValidation allowBlank="false" errorStyle="stop" operator="between" showDropDown="false" showErrorMessage="false" showInputMessage="false" sqref="K2:K37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80"/>
    <col collapsed="false" customWidth="true" hidden="false" outlineLevel="0" max="3" min="3" style="1" width="16"/>
    <col collapsed="false" customWidth="true" hidden="false" outlineLevel="0" max="4" min="4" style="1" width="14"/>
  </cols>
  <sheetData>
    <row r="1" customFormat="false" ht="15" hidden="false" customHeight="true" outlineLevel="0" collapsed="false">
      <c r="A1" s="40" t="s">
        <v>227</v>
      </c>
      <c r="B1" s="40" t="s">
        <v>228</v>
      </c>
      <c r="C1" s="40" t="s">
        <v>229</v>
      </c>
      <c r="D1" s="40" t="s">
        <v>40</v>
      </c>
    </row>
    <row r="2" customFormat="false" ht="33.75" hidden="false" customHeight="true" outlineLevel="0" collapsed="false">
      <c r="A2" s="41" t="s">
        <v>230</v>
      </c>
      <c r="B2" s="22" t="s">
        <v>231</v>
      </c>
      <c r="C2" s="22" t="s">
        <v>232</v>
      </c>
      <c r="D2" s="23" t="s">
        <v>47</v>
      </c>
    </row>
    <row r="3" customFormat="false" ht="33.75" hidden="false" customHeight="true" outlineLevel="0" collapsed="false">
      <c r="A3" s="41" t="s">
        <v>233</v>
      </c>
      <c r="B3" s="22" t="s">
        <v>234</v>
      </c>
      <c r="C3" s="22" t="s">
        <v>235</v>
      </c>
      <c r="D3" s="23" t="s">
        <v>47</v>
      </c>
    </row>
    <row r="4" customFormat="false" ht="33.75" hidden="false" customHeight="true" outlineLevel="0" collapsed="false">
      <c r="A4" s="41" t="s">
        <v>236</v>
      </c>
      <c r="B4" s="22" t="s">
        <v>237</v>
      </c>
      <c r="C4" s="22" t="s">
        <v>238</v>
      </c>
      <c r="D4" s="23" t="s">
        <v>47</v>
      </c>
    </row>
    <row r="5" customFormat="false" ht="33.75" hidden="false" customHeight="true" outlineLevel="0" collapsed="false">
      <c r="A5" s="41" t="s">
        <v>239</v>
      </c>
      <c r="B5" s="22" t="s">
        <v>240</v>
      </c>
      <c r="C5" s="22" t="s">
        <v>241</v>
      </c>
      <c r="D5" s="23" t="s">
        <v>47</v>
      </c>
    </row>
    <row r="6" customFormat="false" ht="33.75" hidden="false" customHeight="true" outlineLevel="0" collapsed="false">
      <c r="A6" s="41" t="s">
        <v>242</v>
      </c>
      <c r="B6" s="22" t="s">
        <v>243</v>
      </c>
      <c r="C6" s="22" t="s">
        <v>244</v>
      </c>
      <c r="D6" s="23" t="s">
        <v>47</v>
      </c>
    </row>
    <row r="7" customFormat="false" ht="33.75" hidden="false" customHeight="true" outlineLevel="0" collapsed="false">
      <c r="A7" s="41" t="s">
        <v>245</v>
      </c>
      <c r="B7" s="22" t="s">
        <v>246</v>
      </c>
      <c r="C7" s="22" t="s">
        <v>247</v>
      </c>
      <c r="D7" s="23" t="s">
        <v>47</v>
      </c>
    </row>
    <row r="8" customFormat="false" ht="33.75" hidden="false" customHeight="true" outlineLevel="0" collapsed="false">
      <c r="A8" s="41" t="s">
        <v>248</v>
      </c>
      <c r="B8" s="22" t="s">
        <v>249</v>
      </c>
      <c r="C8" s="22" t="s">
        <v>250</v>
      </c>
      <c r="D8" s="23" t="s">
        <v>47</v>
      </c>
    </row>
    <row r="9" customFormat="false" ht="33.75" hidden="false" customHeight="true" outlineLevel="0" collapsed="false">
      <c r="A9" s="41" t="s">
        <v>251</v>
      </c>
      <c r="B9" s="22" t="s">
        <v>252</v>
      </c>
      <c r="C9" s="22" t="s">
        <v>253</v>
      </c>
      <c r="D9" s="23" t="s">
        <v>47</v>
      </c>
    </row>
    <row r="10" customFormat="false" ht="33.75" hidden="false" customHeight="true" outlineLevel="0" collapsed="false">
      <c r="A10" s="41" t="s">
        <v>254</v>
      </c>
      <c r="B10" s="22" t="s">
        <v>255</v>
      </c>
      <c r="C10" s="22" t="s">
        <v>256</v>
      </c>
      <c r="D10" s="23" t="s">
        <v>47</v>
      </c>
    </row>
  </sheetData>
  <dataValidations count="1">
    <dataValidation allowBlank="false" errorStyle="stop" operator="between" showDropDown="false" showErrorMessage="false" showInputMessage="false" sqref="D2:D10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8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62"/>
  </cols>
  <sheetData>
    <row r="1" customFormat="false" ht="15" hidden="false" customHeight="true" outlineLevel="0" collapsed="false">
      <c r="A1" s="40" t="s">
        <v>257</v>
      </c>
      <c r="B1" s="40" t="s">
        <v>258</v>
      </c>
      <c r="C1" s="40" t="s">
        <v>259</v>
      </c>
      <c r="D1" s="40" t="s">
        <v>30</v>
      </c>
      <c r="E1" s="40" t="s">
        <v>260</v>
      </c>
    </row>
    <row r="2" customFormat="false" ht="15" hidden="false" customHeight="true" outlineLevel="0" collapsed="false">
      <c r="A2" s="22" t="s">
        <v>261</v>
      </c>
      <c r="B2" s="41" t="s">
        <v>262</v>
      </c>
      <c r="C2" s="42" t="s">
        <v>263</v>
      </c>
      <c r="D2" s="22" t="s">
        <v>264</v>
      </c>
      <c r="E2" s="22" t="s">
        <v>265</v>
      </c>
    </row>
    <row r="3" customFormat="false" ht="15" hidden="false" customHeight="true" outlineLevel="0" collapsed="false">
      <c r="A3" s="22" t="s">
        <v>261</v>
      </c>
      <c r="B3" s="41" t="s">
        <v>266</v>
      </c>
      <c r="C3" s="42" t="s">
        <v>263</v>
      </c>
      <c r="D3" s="22" t="s">
        <v>267</v>
      </c>
      <c r="E3" s="22" t="s">
        <v>268</v>
      </c>
    </row>
    <row r="4" customFormat="false" ht="15" hidden="false" customHeight="true" outlineLevel="0" collapsed="false">
      <c r="A4" s="22" t="s">
        <v>269</v>
      </c>
      <c r="B4" s="41" t="s">
        <v>270</v>
      </c>
      <c r="C4" s="43" t="s">
        <v>271</v>
      </c>
      <c r="D4" s="22" t="s">
        <v>272</v>
      </c>
      <c r="E4" s="22" t="s">
        <v>273</v>
      </c>
    </row>
    <row r="5" customFormat="false" ht="15" hidden="false" customHeight="true" outlineLevel="0" collapsed="false">
      <c r="A5" s="22" t="s">
        <v>261</v>
      </c>
      <c r="B5" s="41" t="s">
        <v>274</v>
      </c>
      <c r="C5" s="44" t="s">
        <v>275</v>
      </c>
      <c r="D5" s="22" t="s">
        <v>264</v>
      </c>
      <c r="E5" s="22" t="s">
        <v>276</v>
      </c>
    </row>
    <row r="6" customFormat="false" ht="15" hidden="false" customHeight="true" outlineLevel="0" collapsed="false">
      <c r="A6" s="22" t="s">
        <v>277</v>
      </c>
      <c r="B6" s="41" t="s">
        <v>278</v>
      </c>
      <c r="C6" s="42" t="s">
        <v>263</v>
      </c>
      <c r="D6" s="22" t="s">
        <v>279</v>
      </c>
      <c r="E6" s="22" t="s">
        <v>280</v>
      </c>
    </row>
    <row r="7" customFormat="false" ht="15" hidden="false" customHeight="true" outlineLevel="0" collapsed="false">
      <c r="A7" s="22" t="s">
        <v>277</v>
      </c>
      <c r="B7" s="41" t="s">
        <v>281</v>
      </c>
      <c r="C7" s="44" t="s">
        <v>275</v>
      </c>
      <c r="D7" s="22" t="s">
        <v>264</v>
      </c>
      <c r="E7" s="22" t="s">
        <v>282</v>
      </c>
    </row>
    <row r="8" customFormat="false" ht="15" hidden="false" customHeight="true" outlineLevel="0" collapsed="false">
      <c r="A8" s="22" t="s">
        <v>283</v>
      </c>
      <c r="B8" s="41" t="s">
        <v>284</v>
      </c>
      <c r="C8" s="42" t="s">
        <v>263</v>
      </c>
      <c r="D8" s="22" t="s">
        <v>285</v>
      </c>
      <c r="E8" s="22" t="s">
        <v>286</v>
      </c>
    </row>
    <row r="9" customFormat="false" ht="15" hidden="false" customHeight="true" outlineLevel="0" collapsed="false">
      <c r="A9" s="22" t="s">
        <v>283</v>
      </c>
      <c r="B9" s="41" t="s">
        <v>287</v>
      </c>
      <c r="C9" s="42" t="s">
        <v>263</v>
      </c>
      <c r="D9" s="22" t="s">
        <v>285</v>
      </c>
      <c r="E9" s="22" t="s">
        <v>288</v>
      </c>
    </row>
    <row r="10" customFormat="false" ht="15" hidden="false" customHeight="true" outlineLevel="0" collapsed="false">
      <c r="A10" s="22" t="s">
        <v>289</v>
      </c>
      <c r="B10" s="41" t="s">
        <v>290</v>
      </c>
      <c r="C10" s="42" t="s">
        <v>263</v>
      </c>
      <c r="D10" s="22" t="s">
        <v>291</v>
      </c>
      <c r="E10" s="22" t="s">
        <v>292</v>
      </c>
    </row>
    <row r="11" customFormat="false" ht="15" hidden="false" customHeight="true" outlineLevel="0" collapsed="false">
      <c r="A11" s="22" t="s">
        <v>289</v>
      </c>
      <c r="B11" s="41" t="s">
        <v>293</v>
      </c>
      <c r="C11" s="43" t="s">
        <v>271</v>
      </c>
      <c r="D11" s="22" t="s">
        <v>291</v>
      </c>
      <c r="E11" s="22" t="s">
        <v>294</v>
      </c>
    </row>
    <row r="12" customFormat="false" ht="15" hidden="false" customHeight="true" outlineLevel="0" collapsed="false">
      <c r="A12" s="22" t="s">
        <v>289</v>
      </c>
      <c r="B12" s="41" t="s">
        <v>295</v>
      </c>
      <c r="C12" s="43" t="s">
        <v>271</v>
      </c>
      <c r="D12" s="22" t="s">
        <v>291</v>
      </c>
      <c r="E12" s="22" t="s">
        <v>296</v>
      </c>
    </row>
    <row r="13" customFormat="false" ht="15" hidden="false" customHeight="true" outlineLevel="0" collapsed="false">
      <c r="A13" s="22" t="s">
        <v>289</v>
      </c>
      <c r="B13" s="41" t="s">
        <v>297</v>
      </c>
      <c r="C13" s="44" t="s">
        <v>275</v>
      </c>
      <c r="D13" s="22" t="s">
        <v>291</v>
      </c>
      <c r="E13" s="22" t="s">
        <v>298</v>
      </c>
    </row>
    <row r="14" customFormat="false" ht="15" hidden="false" customHeight="true" outlineLevel="0" collapsed="false">
      <c r="A14" s="22" t="s">
        <v>299</v>
      </c>
      <c r="B14" s="41" t="s">
        <v>300</v>
      </c>
      <c r="C14" s="43" t="s">
        <v>271</v>
      </c>
      <c r="D14" s="22" t="s">
        <v>301</v>
      </c>
      <c r="E14" s="22" t="s">
        <v>302</v>
      </c>
    </row>
    <row r="15" customFormat="false" ht="15" hidden="false" customHeight="true" outlineLevel="0" collapsed="false">
      <c r="A15" s="22" t="s">
        <v>303</v>
      </c>
      <c r="B15" s="41" t="s">
        <v>304</v>
      </c>
      <c r="C15" s="42" t="s">
        <v>263</v>
      </c>
      <c r="D15" s="22" t="s">
        <v>305</v>
      </c>
      <c r="E15" s="22" t="s">
        <v>306</v>
      </c>
    </row>
    <row r="16" customFormat="false" ht="15" hidden="false" customHeight="true" outlineLevel="0" collapsed="false">
      <c r="A16" s="22" t="s">
        <v>303</v>
      </c>
      <c r="B16" s="41" t="s">
        <v>307</v>
      </c>
      <c r="C16" s="42" t="s">
        <v>263</v>
      </c>
      <c r="D16" s="22" t="s">
        <v>305</v>
      </c>
      <c r="E16" s="22" t="s">
        <v>308</v>
      </c>
    </row>
    <row r="17" customFormat="false" ht="15" hidden="false" customHeight="true" outlineLevel="0" collapsed="false">
      <c r="A17" s="22" t="s">
        <v>309</v>
      </c>
      <c r="B17" s="41" t="s">
        <v>310</v>
      </c>
      <c r="C17" s="42" t="s">
        <v>263</v>
      </c>
      <c r="D17" s="22" t="s">
        <v>311</v>
      </c>
      <c r="E17" s="22" t="s">
        <v>312</v>
      </c>
    </row>
    <row r="18" customFormat="false" ht="15" hidden="false" customHeight="true" outlineLevel="0" collapsed="false">
      <c r="A18" s="22" t="s">
        <v>309</v>
      </c>
      <c r="B18" s="41" t="s">
        <v>313</v>
      </c>
      <c r="C18" s="42" t="s">
        <v>263</v>
      </c>
      <c r="D18" s="22" t="s">
        <v>314</v>
      </c>
      <c r="E18" s="22" t="s">
        <v>315</v>
      </c>
    </row>
    <row r="19" customFormat="false" ht="15" hidden="false" customHeight="true" outlineLevel="0" collapsed="false">
      <c r="A19" s="22" t="s">
        <v>309</v>
      </c>
      <c r="B19" s="41" t="s">
        <v>316</v>
      </c>
      <c r="C19" s="42" t="s">
        <v>263</v>
      </c>
      <c r="D19" s="22" t="s">
        <v>317</v>
      </c>
      <c r="E19" s="22" t="s">
        <v>318</v>
      </c>
    </row>
    <row r="20" customFormat="false" ht="15" hidden="false" customHeight="true" outlineLevel="0" collapsed="false">
      <c r="A20" s="22" t="s">
        <v>309</v>
      </c>
      <c r="B20" s="41" t="s">
        <v>319</v>
      </c>
      <c r="C20" s="43" t="s">
        <v>271</v>
      </c>
      <c r="D20" s="22" t="s">
        <v>317</v>
      </c>
      <c r="E20" s="22" t="s">
        <v>320</v>
      </c>
    </row>
    <row r="21" customFormat="false" ht="15" hidden="false" customHeight="true" outlineLevel="0" collapsed="false">
      <c r="A21" s="22" t="s">
        <v>321</v>
      </c>
      <c r="B21" s="41" t="s">
        <v>322</v>
      </c>
      <c r="C21" s="44" t="s">
        <v>275</v>
      </c>
      <c r="D21" s="22" t="s">
        <v>317</v>
      </c>
      <c r="E21" s="22" t="s">
        <v>323</v>
      </c>
    </row>
    <row r="22" customFormat="false" ht="15" hidden="false" customHeight="true" outlineLevel="0" collapsed="false">
      <c r="A22" s="22" t="s">
        <v>324</v>
      </c>
      <c r="B22" s="41" t="s">
        <v>325</v>
      </c>
      <c r="C22" s="42" t="s">
        <v>263</v>
      </c>
      <c r="D22" s="22" t="s">
        <v>326</v>
      </c>
      <c r="E22" s="22" t="s">
        <v>327</v>
      </c>
    </row>
    <row r="23" customFormat="false" ht="15" hidden="false" customHeight="true" outlineLevel="0" collapsed="false">
      <c r="A23" s="22" t="s">
        <v>324</v>
      </c>
      <c r="B23" s="41" t="s">
        <v>328</v>
      </c>
      <c r="C23" s="44" t="s">
        <v>275</v>
      </c>
      <c r="D23" s="22" t="s">
        <v>329</v>
      </c>
      <c r="E23" s="22" t="s">
        <v>330</v>
      </c>
    </row>
    <row r="24" customFormat="false" ht="15" hidden="false" customHeight="true" outlineLevel="0" collapsed="false">
      <c r="A24" s="22" t="s">
        <v>331</v>
      </c>
      <c r="B24" s="41" t="s">
        <v>332</v>
      </c>
      <c r="C24" s="42" t="s">
        <v>263</v>
      </c>
      <c r="D24" s="22" t="s">
        <v>326</v>
      </c>
      <c r="E24" s="22" t="s">
        <v>333</v>
      </c>
    </row>
    <row r="25" customFormat="false" ht="15" hidden="false" customHeight="true" outlineLevel="0" collapsed="false">
      <c r="A25" s="22" t="s">
        <v>334</v>
      </c>
      <c r="B25" s="41" t="s">
        <v>335</v>
      </c>
      <c r="C25" s="43" t="s">
        <v>271</v>
      </c>
      <c r="D25" s="22" t="s">
        <v>326</v>
      </c>
      <c r="E25" s="22" t="s">
        <v>336</v>
      </c>
    </row>
    <row r="26" customFormat="false" ht="15" hidden="false" customHeight="true" outlineLevel="0" collapsed="false">
      <c r="A26" s="22" t="s">
        <v>236</v>
      </c>
      <c r="B26" s="41" t="s">
        <v>337</v>
      </c>
      <c r="C26" s="43" t="s">
        <v>271</v>
      </c>
      <c r="D26" s="22" t="s">
        <v>329</v>
      </c>
      <c r="E26" s="22" t="s">
        <v>338</v>
      </c>
    </row>
    <row r="27" customFormat="false" ht="15" hidden="false" customHeight="true" outlineLevel="0" collapsed="false">
      <c r="A27" s="22" t="s">
        <v>245</v>
      </c>
      <c r="B27" s="41" t="s">
        <v>339</v>
      </c>
      <c r="C27" s="42" t="s">
        <v>263</v>
      </c>
      <c r="D27" s="22" t="s">
        <v>340</v>
      </c>
      <c r="E27" s="22" t="s">
        <v>341</v>
      </c>
    </row>
    <row r="28" customFormat="false" ht="15" hidden="false" customHeight="true" outlineLevel="0" collapsed="false">
      <c r="A28" s="22" t="s">
        <v>245</v>
      </c>
      <c r="B28" s="41" t="s">
        <v>342</v>
      </c>
      <c r="C28" s="42" t="s">
        <v>263</v>
      </c>
      <c r="D28" s="22" t="s">
        <v>343</v>
      </c>
      <c r="E28" s="22" t="s">
        <v>344</v>
      </c>
    </row>
    <row r="29" customFormat="false" ht="15" hidden="false" customHeight="true" outlineLevel="0" collapsed="false">
      <c r="A29" s="22" t="s">
        <v>245</v>
      </c>
      <c r="B29" s="41" t="s">
        <v>345</v>
      </c>
      <c r="C29" s="43" t="s">
        <v>271</v>
      </c>
      <c r="D29" s="22" t="s">
        <v>346</v>
      </c>
      <c r="E29" s="22" t="s">
        <v>347</v>
      </c>
    </row>
    <row r="30" customFormat="false" ht="15" hidden="false" customHeight="true" outlineLevel="0" collapsed="false">
      <c r="A30" s="22" t="s">
        <v>251</v>
      </c>
      <c r="B30" s="41" t="s">
        <v>348</v>
      </c>
      <c r="C30" s="43" t="s">
        <v>271</v>
      </c>
      <c r="D30" s="22" t="s">
        <v>349</v>
      </c>
      <c r="E30" s="22" t="s">
        <v>350</v>
      </c>
    </row>
    <row r="31" customFormat="false" ht="15" hidden="false" customHeight="true" outlineLevel="0" collapsed="false">
      <c r="A31" s="22" t="s">
        <v>351</v>
      </c>
      <c r="B31" s="41" t="s">
        <v>352</v>
      </c>
      <c r="C31" s="42" t="s">
        <v>263</v>
      </c>
      <c r="D31" s="22" t="s">
        <v>353</v>
      </c>
      <c r="E31" s="22" t="s">
        <v>354</v>
      </c>
    </row>
    <row r="32" customFormat="false" ht="15" hidden="false" customHeight="true" outlineLevel="0" collapsed="false">
      <c r="A32" s="22" t="s">
        <v>351</v>
      </c>
      <c r="B32" s="41" t="s">
        <v>355</v>
      </c>
      <c r="C32" s="43" t="s">
        <v>271</v>
      </c>
      <c r="D32" s="22" t="s">
        <v>314</v>
      </c>
      <c r="E32" s="22" t="s">
        <v>356</v>
      </c>
    </row>
    <row r="33" customFormat="false" ht="15" hidden="false" customHeight="true" outlineLevel="0" collapsed="false">
      <c r="A33" s="22" t="s">
        <v>357</v>
      </c>
      <c r="B33" s="41" t="s">
        <v>358</v>
      </c>
      <c r="C33" s="43" t="s">
        <v>271</v>
      </c>
      <c r="D33" s="22" t="s">
        <v>314</v>
      </c>
      <c r="E33" s="22" t="s">
        <v>359</v>
      </c>
    </row>
    <row r="34" customFormat="false" ht="15" hidden="false" customHeight="true" outlineLevel="0" collapsed="false">
      <c r="A34" s="22" t="s">
        <v>357</v>
      </c>
      <c r="B34" s="41" t="s">
        <v>360</v>
      </c>
      <c r="C34" s="44" t="s">
        <v>275</v>
      </c>
      <c r="D34" s="22" t="s">
        <v>314</v>
      </c>
      <c r="E34" s="22" t="s">
        <v>361</v>
      </c>
    </row>
    <row r="35" customFormat="false" ht="15" hidden="false" customHeight="true" outlineLevel="0" collapsed="false">
      <c r="A35" s="22" t="s">
        <v>362</v>
      </c>
      <c r="B35" s="41" t="s">
        <v>363</v>
      </c>
      <c r="C35" s="43" t="s">
        <v>364</v>
      </c>
      <c r="D35" s="22" t="s">
        <v>365</v>
      </c>
      <c r="E35" s="22" t="s">
        <v>366</v>
      </c>
    </row>
    <row r="36" customFormat="false" ht="15" hidden="false" customHeight="true" outlineLevel="0" collapsed="false">
      <c r="A36" s="22" t="s">
        <v>248</v>
      </c>
      <c r="B36" s="41" t="s">
        <v>367</v>
      </c>
      <c r="C36" s="42" t="s">
        <v>263</v>
      </c>
      <c r="D36" s="22" t="s">
        <v>368</v>
      </c>
      <c r="E36" s="22" t="s">
        <v>369</v>
      </c>
    </row>
    <row r="37" customFormat="false" ht="15" hidden="false" customHeight="true" outlineLevel="0" collapsed="false">
      <c r="A37" s="22" t="s">
        <v>248</v>
      </c>
      <c r="B37" s="41" t="s">
        <v>370</v>
      </c>
      <c r="C37" s="44" t="s">
        <v>275</v>
      </c>
      <c r="D37" s="22" t="s">
        <v>371</v>
      </c>
      <c r="E37" s="22" t="s">
        <v>372</v>
      </c>
    </row>
    <row r="38" customFormat="false" ht="15" hidden="false" customHeight="false" outlineLevel="0" collapsed="false">
      <c r="A38" s="22" t="s">
        <v>351</v>
      </c>
      <c r="B38" s="41" t="s">
        <v>373</v>
      </c>
      <c r="C38" s="44" t="s">
        <v>263</v>
      </c>
      <c r="D38" s="22" t="s">
        <v>374</v>
      </c>
      <c r="E38" s="22" t="s">
        <v>375</v>
      </c>
    </row>
    <row r="39" customFormat="false" ht="15" hidden="false" customHeight="false" outlineLevel="0" collapsed="false">
      <c r="A39" s="22" t="s">
        <v>351</v>
      </c>
      <c r="B39" s="41" t="s">
        <v>376</v>
      </c>
      <c r="C39" s="44" t="s">
        <v>275</v>
      </c>
      <c r="D39" s="22" t="s">
        <v>267</v>
      </c>
      <c r="E39" s="22" t="s">
        <v>377</v>
      </c>
    </row>
    <row r="40" customFormat="false" ht="15" hidden="false" customHeight="false" outlineLevel="0" collapsed="false">
      <c r="A40" s="22" t="s">
        <v>378</v>
      </c>
      <c r="B40" s="41" t="s">
        <v>379</v>
      </c>
      <c r="C40" s="44" t="s">
        <v>271</v>
      </c>
      <c r="D40" s="22" t="s">
        <v>380</v>
      </c>
      <c r="E40" s="22" t="s">
        <v>381</v>
      </c>
    </row>
  </sheetData>
  <autoFilter ref="A1:E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100"/>
  </cols>
  <sheetData>
    <row r="1" customFormat="false" ht="15" hidden="false" customHeight="true" outlineLevel="0" collapsed="false">
      <c r="A1" s="40" t="s">
        <v>382</v>
      </c>
      <c r="B1" s="40" t="s">
        <v>383</v>
      </c>
      <c r="C1" s="40" t="s">
        <v>384</v>
      </c>
    </row>
    <row r="2" customFormat="false" ht="61.5" hidden="false" customHeight="true" outlineLevel="0" collapsed="false">
      <c r="A2" s="41" t="s">
        <v>385</v>
      </c>
      <c r="B2" s="22" t="s">
        <v>386</v>
      </c>
      <c r="C2" s="22" t="s">
        <v>387</v>
      </c>
    </row>
    <row r="3" customFormat="false" ht="61.5" hidden="false" customHeight="true" outlineLevel="0" collapsed="false">
      <c r="A3" s="41" t="s">
        <v>385</v>
      </c>
      <c r="B3" s="22" t="s">
        <v>388</v>
      </c>
      <c r="C3" s="22" t="s">
        <v>389</v>
      </c>
    </row>
    <row r="4" customFormat="false" ht="61.5" hidden="false" customHeight="true" outlineLevel="0" collapsed="false">
      <c r="A4" s="41" t="s">
        <v>390</v>
      </c>
      <c r="B4" s="22" t="s">
        <v>391</v>
      </c>
      <c r="C4" s="22" t="s">
        <v>392</v>
      </c>
    </row>
    <row r="5" customFormat="false" ht="61.5" hidden="false" customHeight="true" outlineLevel="0" collapsed="false">
      <c r="A5" s="41" t="s">
        <v>390</v>
      </c>
      <c r="B5" s="22" t="s">
        <v>393</v>
      </c>
      <c r="C5" s="22" t="s">
        <v>394</v>
      </c>
    </row>
    <row r="6" customFormat="false" ht="61.5" hidden="false" customHeight="true" outlineLevel="0" collapsed="false">
      <c r="A6" s="41" t="s">
        <v>395</v>
      </c>
      <c r="B6" s="22" t="s">
        <v>396</v>
      </c>
      <c r="C6" s="22" t="s">
        <v>397</v>
      </c>
    </row>
    <row r="7" customFormat="false" ht="61.5" hidden="false" customHeight="true" outlineLevel="0" collapsed="false">
      <c r="A7" s="41" t="s">
        <v>395</v>
      </c>
      <c r="B7" s="22" t="s">
        <v>398</v>
      </c>
      <c r="C7" s="22" t="s">
        <v>399</v>
      </c>
    </row>
    <row r="8" customFormat="false" ht="61.5" hidden="false" customHeight="true" outlineLevel="0" collapsed="false">
      <c r="A8" s="41" t="s">
        <v>400</v>
      </c>
      <c r="B8" s="22" t="s">
        <v>401</v>
      </c>
      <c r="C8" s="22" t="s">
        <v>402</v>
      </c>
    </row>
    <row r="9" customFormat="false" ht="61.5" hidden="false" customHeight="true" outlineLevel="0" collapsed="false">
      <c r="A9" s="41" t="s">
        <v>403</v>
      </c>
      <c r="B9" s="22" t="s">
        <v>404</v>
      </c>
      <c r="C9" s="22" t="s">
        <v>405</v>
      </c>
    </row>
    <row r="10" customFormat="false" ht="61.5" hidden="false" customHeight="true" outlineLevel="0" collapsed="false">
      <c r="A10" s="41" t="s">
        <v>403</v>
      </c>
      <c r="B10" s="22" t="s">
        <v>406</v>
      </c>
      <c r="C10" s="22" t="s">
        <v>407</v>
      </c>
    </row>
    <row r="11" customFormat="false" ht="61.5" hidden="false" customHeight="true" outlineLevel="0" collapsed="false">
      <c r="A11" s="41" t="s">
        <v>408</v>
      </c>
      <c r="B11" s="22" t="s">
        <v>409</v>
      </c>
      <c r="C11" s="22" t="s">
        <v>410</v>
      </c>
    </row>
    <row r="12" customFormat="false" ht="61.5" hidden="false" customHeight="true" outlineLevel="0" collapsed="false">
      <c r="A12" s="41" t="s">
        <v>408</v>
      </c>
      <c r="B12" s="22" t="s">
        <v>411</v>
      </c>
      <c r="C12" s="22" t="s">
        <v>412</v>
      </c>
    </row>
    <row r="13" customFormat="false" ht="61.5" hidden="false" customHeight="true" outlineLevel="0" collapsed="false">
      <c r="A13" s="41" t="s">
        <v>413</v>
      </c>
      <c r="B13" s="22" t="s">
        <v>414</v>
      </c>
      <c r="C13" s="22" t="s">
        <v>415</v>
      </c>
    </row>
    <row r="14" customFormat="false" ht="61.5" hidden="false" customHeight="true" outlineLevel="0" collapsed="false">
      <c r="A14" s="41" t="s">
        <v>413</v>
      </c>
      <c r="B14" s="22" t="s">
        <v>416</v>
      </c>
      <c r="C14" s="22" t="s">
        <v>417</v>
      </c>
    </row>
    <row r="15" customFormat="false" ht="61.5" hidden="false" customHeight="true" outlineLevel="0" collapsed="false">
      <c r="A15" s="41" t="s">
        <v>418</v>
      </c>
      <c r="B15" s="22" t="s">
        <v>419</v>
      </c>
      <c r="C15" s="22" t="s">
        <v>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2026-10-03T16:04:58Z</dcterms:created>
  <dc:creator>openpyxl</dc:creator>
  <dc:description/>
  <dc:language>en-US</dc:language>
  <cp:lastModifiedBy/>
  <dcterms:modified xsi:type="dcterms:W3CDTF">2026-10-04T03:02:47Z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